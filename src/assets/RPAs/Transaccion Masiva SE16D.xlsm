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if32567\Downloads\"/>
    </mc:Choice>
  </mc:AlternateContent>
  <xr:revisionPtr revIDLastSave="0" documentId="13_ncr:1_{02B6D8BD-C33D-4474-A28E-9C8BF7D73338}" xr6:coauthVersionLast="47" xr6:coauthVersionMax="47" xr10:uidLastSave="{00000000-0000-0000-0000-000000000000}"/>
  <bookViews>
    <workbookView xWindow="28680" yWindow="1620" windowWidth="29040" windowHeight="15720" xr2:uid="{00000000-000D-0000-FFFF-FFFF00000000}"/>
  </bookViews>
  <sheets>
    <sheet name="Maestro" sheetId="1" r:id="rId1"/>
    <sheet name="BackGr" sheetId="3" state="hidden" r:id="rId2"/>
  </sheets>
  <externalReferences>
    <externalReference r:id="rId3"/>
  </externalReferences>
  <definedNames>
    <definedName name="_xlnm._FilterDatabase" localSheetId="1" hidden="1">BackGr!$B$1:$B$25</definedName>
    <definedName name="aa">#REF!</definedName>
    <definedName name="ip" localSheetId="1">#REF!</definedName>
    <definedName name="ip">#REF!</definedName>
    <definedName name="material" localSheetId="1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1">#REF!</definedName>
    <definedName name="po">#REF!</definedName>
    <definedName name="pow" localSheetId="1">#REF!</definedName>
    <definedName name="pow">#REF!</definedName>
    <definedName name="precio" localSheetId="1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 concurrentManualCount="1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<sst xmlns="http://schemas.openxmlformats.org/spreadsheetml/2006/main" count="774" uniqueCount="325">
  <si>
    <t>|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</si>
  <si>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</si>
  <si>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</si>
  <si>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</si>
  <si>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</si>
  <si>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</si>
  <si>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</si>
  <si>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</si>
  <si>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</si>
  <si>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</si>
  <si>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</si>
  <si>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</si>
  <si>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</si>
  <si>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</si>
  <si>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</si>
  <si>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</si>
  <si>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</si>
  <si>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</si>
  <si>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</si>
  <si>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</si>
  <si>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</si>
  <si>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</si>
  <si>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</si>
  <si>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</si>
  <si>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</si>
  <si>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</si>
  <si>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</si>
  <si>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</si>
  <si>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</si>
  <si>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</si>
  <si>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</si>
  <si>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</si>
  <si>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</si>
  <si>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</si>
  <si>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</si>
  <si>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</si>
  <si>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</si>
  <si>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</si>
  <si>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</si>
  <si>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</si>
  <si>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</si>
  <si>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</si>
  <si>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</si>
  <si>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</si>
  <si>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</si>
  <si>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</si>
  <si>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</si>
  <si>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</si>
  <si>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</si>
  <si>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</si>
  <si>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</si>
  <si>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</si>
  <si>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</si>
  <si>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</si>
  <si>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</si>
  <si>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</si>
  <si>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</si>
  <si>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</si>
  <si>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</si>
  <si>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</si>
  <si>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</si>
  <si>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</si>
  <si>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</si>
  <si>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</si>
  <si>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</si>
  <si>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</si>
  <si>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</si>
  <si>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</si>
  <si>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</si>
  <si>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</si>
  <si>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</si>
  <si>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</si>
  <si>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</si>
  <si>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</si>
  <si>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</si>
  <si>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</si>
  <si>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</si>
  <si>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</si>
  <si>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</si>
  <si>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</si>
  <si>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</si>
  <si>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</si>
  <si>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</si>
  <si>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</si>
  <si>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</si>
  <si>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</si>
  <si>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</si>
  <si>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</si>
  <si>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</si>
  <si>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</si>
  <si>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</si>
  <si>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</si>
  <si>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</si>
  <si>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</si>
  <si>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</si>
  <si>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</si>
  <si>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</si>
  <si>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</si>
  <si>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</si>
  <si>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</si>
  <si>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</si>
  <si>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</si>
  <si>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</si>
  <si>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</si>
  <si>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</si>
  <si>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</si>
  <si>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</si>
  <si>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</si>
  <si>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</si>
  <si>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</si>
  <si>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</si>
  <si>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</si>
  <si>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</si>
  <si>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</si>
  <si>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</si>
  <si>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</si>
  <si>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</si>
  <si>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</si>
  <si>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</si>
  <si>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</si>
  <si>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</si>
  <si>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</si>
  <si>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</si>
  <si>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</si>
  <si>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</si>
  <si>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</si>
  <si>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</si>
  <si>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</si>
  <si>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</si>
  <si>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</si>
  <si>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</si>
  <si>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</si>
  <si>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</si>
  <si>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</si>
  <si>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</si>
  <si>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</si>
  <si>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</si>
  <si>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</si>
  <si>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</si>
  <si>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</si>
  <si>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</si>
  <si>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</si>
  <si>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</si>
  <si>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</si>
  <si>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</si>
  <si>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</si>
  <si>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</si>
  <si>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</si>
  <si>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</si>
  <si>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</si>
  <si>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</si>
  <si>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</si>
  <si>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</si>
  <si>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</si>
  <si>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</si>
  <si>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</si>
  <si>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</si>
  <si>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</si>
  <si>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</si>
  <si>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</si>
  <si>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</si>
  <si>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</si>
  <si>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</si>
  <si>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</si>
  <si>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</si>
  <si>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</si>
  <si>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</si>
  <si>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</si>
  <si>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</si>
  <si>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</si>
  <si>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</si>
  <si>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</si>
  <si>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</si>
  <si>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</si>
  <si>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</si>
  <si>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</si>
  <si>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</si>
  <si>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</si>
  <si>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</si>
  <si>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</si>
  <si>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</si>
  <si>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</si>
  <si>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</si>
  <si>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</si>
  <si>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</si>
  <si>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</si>
  <si>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</si>
  <si>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</si>
  <si>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</si>
  <si>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</si>
  <si>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</si>
  <si>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</si>
  <si>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</si>
  <si>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</si>
  <si>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</si>
  <si>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</si>
  <si>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</si>
  <si>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</si>
  <si>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</si>
  <si>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</si>
  <si>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</si>
  <si>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</si>
  <si>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</si>
  <si>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</si>
  <si>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</si>
  <si>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</si>
  <si>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</si>
  <si>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</si>
  <si>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</si>
  <si>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</si>
  <si>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</si>
  <si>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</si>
  <si>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</si>
  <si>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</si>
  <si>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</si>
  <si>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</si>
  <si>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</si>
  <si>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</si>
  <si>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</si>
  <si>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</si>
  <si>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</si>
  <si>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</si>
  <si>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</si>
  <si>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</si>
  <si>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</si>
  <si>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</si>
  <si>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</si>
  <si>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</si>
  <si>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</si>
  <si>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</si>
  <si>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</si>
  <si>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</si>
  <si>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</si>
  <si>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</si>
  <si>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</si>
  <si>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</si>
  <si>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</si>
  <si>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</si>
  <si>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</si>
  <si>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</si>
  <si>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</si>
  <si>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</si>
  <si>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</si>
  <si>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</si>
  <si>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</si>
  <si>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</si>
  <si>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</si>
  <si>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</si>
  <si>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</si>
  <si>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</si>
  <si>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</si>
  <si>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</si>
  <si>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</si>
  <si>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</si>
  <si>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</si>
  <si>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</si>
  <si>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</si>
  <si>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</si>
  <si>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</si>
  <si>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</si>
  <si>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</si>
  <si>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</si>
  <si>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</si>
  <si>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</si>
  <si>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</si>
  <si>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</si>
  <si>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</si>
  <si>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</si>
  <si>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</si>
  <si>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</si>
  <si>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</si>
  <si>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</si>
  <si>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</si>
  <si>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</si>
  <si>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</si>
  <si>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</si>
  <si>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</si>
  <si>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</si>
  <si>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</si>
  <si>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</si>
  <si>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</si>
  <si>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</si>
  <si>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</si>
  <si>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</si>
  <si>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</si>
  <si>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</si>
  <si>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</si>
  <si>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</si>
  <si>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</si>
  <si>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</si>
  <si>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</si>
  <si>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</si>
  <si>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</si>
  <si>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</si>
  <si>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</si>
  <si>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</si>
  <si>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</si>
  <si>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</si>
  <si>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</si>
  <si>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</si>
  <si>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</si>
  <si>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</si>
  <si>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</si>
  <si>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</si>
  <si>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</si>
  <si>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</si>
  <si>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</si>
  <si>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</si>
  <si>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</si>
  <si>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</si>
  <si>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</si>
  <si>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</si>
  <si>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</si>
  <si>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</si>
  <si>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</si>
  <si>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</si>
  <si>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</si>
  <si>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</si>
  <si>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</si>
  <si>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</si>
  <si>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</si>
  <si>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</si>
  <si>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</si>
  <si>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</si>
  <si>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Enter your part numbers to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</si>
</sst>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0" fillId="3" borderId="0" xfId="0" applyFill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" xfId="0" applyFont="1" applyFill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2" borderId="5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345108</xdr:colOff>
      <xdr:row>13</xdr:row>
      <xdr:rowOff>80199</xdr:rowOff>
    </xdr:from>
    <xdr:to>
      <xdr:col>23</xdr:col>
      <xdr:colOff>316848</xdr:colOff>
      <xdr:row>23</xdr:row>
      <xdr:rowOff>48641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2213" y="3401416"/>
          <a:ext cx="1776477" cy="1723047"/>
        </a:xfrm>
        <a:prstGeom prst="rect">
          <a:avLst/>
        </a:prstGeom>
      </xdr:spPr>
    </xdr:pic>
    <xdr:clientData fLocksWithSheet="0"/>
  </xdr:twoCellAnchor>
  <xdr:twoCellAnchor editAs="absolute">
    <xdr:from>
      <xdr:col>24</xdr:col>
      <xdr:colOff>149481</xdr:colOff>
      <xdr:row>17</xdr:row>
      <xdr:rowOff>83209</xdr:rowOff>
    </xdr:from>
    <xdr:to>
      <xdr:col>26</xdr:col>
      <xdr:colOff>203380</xdr:colOff>
      <xdr:row>21</xdr:row>
      <xdr:rowOff>19801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6692902" y="4106268"/>
          <a:ext cx="1257057" cy="63843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 editAs="absolute">
    <xdr:from>
      <xdr:col>24</xdr:col>
      <xdr:colOff>140925</xdr:colOff>
      <xdr:row>16</xdr:row>
      <xdr:rowOff>98748</xdr:rowOff>
    </xdr:from>
    <xdr:to>
      <xdr:col>26</xdr:col>
      <xdr:colOff>179584</xdr:colOff>
      <xdr:row>20</xdr:row>
      <xdr:rowOff>58200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6684346" y="3946347"/>
          <a:ext cx="1241817" cy="661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 fLocksWithSheet="0"/>
  </xdr:twoCellAnchor>
  <xdr:twoCellAnchor editAs="absolute">
    <xdr:from>
      <xdr:col>21</xdr:col>
      <xdr:colOff>359739</xdr:colOff>
      <xdr:row>13</xdr:row>
      <xdr:rowOff>91581</xdr:rowOff>
    </xdr:from>
    <xdr:to>
      <xdr:col>23</xdr:col>
      <xdr:colOff>358784</xdr:colOff>
      <xdr:row>23</xdr:row>
      <xdr:rowOff>108536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96844" y="3412798"/>
          <a:ext cx="1803782" cy="1771560"/>
        </a:xfrm>
        <a:prstGeom prst="rect">
          <a:avLst/>
        </a:prstGeom>
      </xdr:spPr>
    </xdr:pic>
    <xdr:clientData fLock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table you want to consult</a:t>
          </a:r>
        </a:p>
      </xdr:txBody>
    </xdr:sp>
    <xdr:clientData/>
  </xdr:twoCellAnchor>
  <xdr:twoCellAnchor>
    <xdr:from>
      <xdr:col>2</xdr:col>
      <xdr:colOff>317500</xdr:colOff>
      <xdr:row>1</xdr:row>
      <xdr:rowOff>518028</xdr:rowOff>
    </xdr:from>
    <xdr:to>
      <xdr:col>5</xdr:col>
      <xdr:colOff>334211</xdr:colOff>
      <xdr:row>4</xdr:row>
      <xdr:rowOff>50132</xdr:rowOff>
    </xdr:to>
    <xdr:sp macro="[0]!MARA" textlink="">
      <xdr:nvSpPr>
        <xdr:cNvPr id="18" name="Rectangle 17">
          <a:extLst>
            <a:ext uri="{FF2B5EF4-FFF2-40B4-BE49-F238E27FC236}">
              <a16:creationId xmlns:a16="http://schemas.microsoft.com/office/drawing/2014/main" id="{60222FE8-E680-2DE9-A886-E37E51C6BC1A}"/>
            </a:ext>
          </a:extLst>
        </xdr:cNvPr>
        <xdr:cNvSpPr/>
      </xdr:nvSpPr>
      <xdr:spPr>
        <a:xfrm>
          <a:off x="2063750" y="1353554"/>
          <a:ext cx="1871579" cy="46789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MARA</a:t>
          </a:r>
        </a:p>
      </xdr:txBody>
    </xdr:sp>
    <xdr:clientData/>
  </xdr:twoCellAnchor>
  <xdr:twoCellAnchor>
    <xdr:from>
      <xdr:col>2</xdr:col>
      <xdr:colOff>332773</xdr:colOff>
      <xdr:row>8</xdr:row>
      <xdr:rowOff>171017</xdr:rowOff>
    </xdr:from>
    <xdr:to>
      <xdr:col>5</xdr:col>
      <xdr:colOff>364724</xdr:colOff>
      <xdr:row>11</xdr:row>
      <xdr:rowOff>99628</xdr:rowOff>
    </xdr:to>
    <xdr:sp macro="[0]!MARC" textlink="">
      <xdr:nvSpPr>
        <xdr:cNvPr id="20" name="Rectangle 19">
          <a:extLst>
            <a:ext uri="{FF2B5EF4-FFF2-40B4-BE49-F238E27FC236}">
              <a16:creationId xmlns:a16="http://schemas.microsoft.com/office/drawing/2014/main" id="{C3F55163-7F17-47EB-BA1E-39CCC9B0EBD8}"/>
            </a:ext>
          </a:extLst>
        </xdr:cNvPr>
        <xdr:cNvSpPr/>
      </xdr:nvSpPr>
      <xdr:spPr>
        <a:xfrm>
          <a:off x="2049780" y="2614931"/>
          <a:ext cx="1836687" cy="454993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MARC</a:t>
          </a:r>
        </a:p>
      </xdr:txBody>
    </xdr:sp>
    <xdr:clientData/>
  </xdr:twoCellAnchor>
  <xdr:twoCellAnchor>
    <xdr:from>
      <xdr:col>2</xdr:col>
      <xdr:colOff>384174</xdr:colOff>
      <xdr:row>15</xdr:row>
      <xdr:rowOff>146787</xdr:rowOff>
    </xdr:from>
    <xdr:to>
      <xdr:col>5</xdr:col>
      <xdr:colOff>398980</xdr:colOff>
      <xdr:row>18</xdr:row>
      <xdr:rowOff>81113</xdr:rowOff>
    </xdr:to>
    <xdr:sp macro="[0]!MLGN" textlink="">
      <xdr:nvSpPr>
        <xdr:cNvPr id="23" name="Rectangle 22">
          <a:extLst>
            <a:ext uri="{FF2B5EF4-FFF2-40B4-BE49-F238E27FC236}">
              <a16:creationId xmlns:a16="http://schemas.microsoft.com/office/drawing/2014/main" id="{5F742194-E8E1-4BB3-8121-E8DF4C1303A7}"/>
            </a:ext>
          </a:extLst>
        </xdr:cNvPr>
        <xdr:cNvSpPr/>
      </xdr:nvSpPr>
      <xdr:spPr>
        <a:xfrm>
          <a:off x="2101181" y="3818925"/>
          <a:ext cx="1819542" cy="46070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MLGN</a:t>
          </a:r>
        </a:p>
      </xdr:txBody>
    </xdr:sp>
    <xdr:clientData/>
  </xdr:twoCellAnchor>
  <xdr:twoCellAnchor>
    <xdr:from>
      <xdr:col>2</xdr:col>
      <xdr:colOff>377456</xdr:colOff>
      <xdr:row>22</xdr:row>
      <xdr:rowOff>173120</xdr:rowOff>
    </xdr:from>
    <xdr:to>
      <xdr:col>5</xdr:col>
      <xdr:colOff>382737</xdr:colOff>
      <xdr:row>25</xdr:row>
      <xdr:rowOff>91473</xdr:rowOff>
    </xdr:to>
    <xdr:sp macro="[0]!MKAL" textlink="">
      <xdr:nvSpPr>
        <xdr:cNvPr id="25" name="Rectangle 24">
          <a:extLst>
            <a:ext uri="{FF2B5EF4-FFF2-40B4-BE49-F238E27FC236}">
              <a16:creationId xmlns:a16="http://schemas.microsoft.com/office/drawing/2014/main" id="{B0BA44E7-FC81-4AAA-B05E-36F47826ADE7}"/>
            </a:ext>
          </a:extLst>
        </xdr:cNvPr>
        <xdr:cNvSpPr/>
      </xdr:nvSpPr>
      <xdr:spPr>
        <a:xfrm>
          <a:off x="2094463" y="5073482"/>
          <a:ext cx="1810017" cy="44473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MKAL</a:t>
          </a:r>
        </a:p>
      </xdr:txBody>
    </xdr:sp>
    <xdr:clientData/>
  </xdr:twoCellAnchor>
  <xdr:twoCellAnchor>
    <xdr:from>
      <xdr:col>2</xdr:col>
      <xdr:colOff>340391</xdr:colOff>
      <xdr:row>30</xdr:row>
      <xdr:rowOff>12198</xdr:rowOff>
    </xdr:from>
    <xdr:to>
      <xdr:col>5</xdr:col>
      <xdr:colOff>341862</xdr:colOff>
      <xdr:row>32</xdr:row>
      <xdr:rowOff>133416</xdr:rowOff>
    </xdr:to>
    <xdr:sp macro="[0]!MARD" textlink="">
      <xdr:nvSpPr>
        <xdr:cNvPr id="26" name="Rectangle 25">
          <a:extLst>
            <a:ext uri="{FF2B5EF4-FFF2-40B4-BE49-F238E27FC236}">
              <a16:creationId xmlns:a16="http://schemas.microsoft.com/office/drawing/2014/main" id="{6E16A432-03E1-453B-8569-27AEC2AF4661}"/>
            </a:ext>
          </a:extLst>
        </xdr:cNvPr>
        <xdr:cNvSpPr/>
      </xdr:nvSpPr>
      <xdr:spPr>
        <a:xfrm>
          <a:off x="2057398" y="6316244"/>
          <a:ext cx="1806207" cy="472139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MARD</a:t>
          </a:r>
        </a:p>
      </xdr:txBody>
    </xdr:sp>
    <xdr:clientData/>
  </xdr:twoCellAnchor>
  <xdr:twoCellAnchor>
    <xdr:from>
      <xdr:col>12</xdr:col>
      <xdr:colOff>153574</xdr:colOff>
      <xdr:row>1</xdr:row>
      <xdr:rowOff>516223</xdr:rowOff>
    </xdr:from>
    <xdr:to>
      <xdr:col>15</xdr:col>
      <xdr:colOff>149330</xdr:colOff>
      <xdr:row>4</xdr:row>
      <xdr:rowOff>55947</xdr:rowOff>
    </xdr:to>
    <xdr:sp macro="[0]!MAST" textlink="">
      <xdr:nvSpPr>
        <xdr:cNvPr id="27" name="Rectangle 26">
          <a:extLst>
            <a:ext uri="{FF2B5EF4-FFF2-40B4-BE49-F238E27FC236}">
              <a16:creationId xmlns:a16="http://schemas.microsoft.com/office/drawing/2014/main" id="{8791578D-BACF-4BA0-B544-FA08263EECE4}"/>
            </a:ext>
          </a:extLst>
        </xdr:cNvPr>
        <xdr:cNvSpPr/>
      </xdr:nvSpPr>
      <xdr:spPr>
        <a:xfrm>
          <a:off x="7886370" y="1343394"/>
          <a:ext cx="1800493" cy="454625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MAST</a:t>
          </a:r>
        </a:p>
      </xdr:txBody>
    </xdr:sp>
    <xdr:clientData/>
  </xdr:twoCellAnchor>
  <xdr:twoCellAnchor>
    <xdr:from>
      <xdr:col>12</xdr:col>
      <xdr:colOff>106186</xdr:colOff>
      <xdr:row>8</xdr:row>
      <xdr:rowOff>120986</xdr:rowOff>
    </xdr:from>
    <xdr:to>
      <xdr:col>15</xdr:col>
      <xdr:colOff>119087</xdr:colOff>
      <xdr:row>11</xdr:row>
      <xdr:rowOff>55312</xdr:rowOff>
    </xdr:to>
    <xdr:sp macro="[0]!MAPL" textlink="">
      <xdr:nvSpPr>
        <xdr:cNvPr id="34" name="Rectangle 33">
          <a:extLst>
            <a:ext uri="{FF2B5EF4-FFF2-40B4-BE49-F238E27FC236}">
              <a16:creationId xmlns:a16="http://schemas.microsoft.com/office/drawing/2014/main" id="{3B9ABCBE-9A79-4D94-8D67-9667FF127C2F}"/>
            </a:ext>
          </a:extLst>
        </xdr:cNvPr>
        <xdr:cNvSpPr/>
      </xdr:nvSpPr>
      <xdr:spPr>
        <a:xfrm>
          <a:off x="7838982" y="2564900"/>
          <a:ext cx="1817638" cy="46070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MAPL</a:t>
          </a:r>
        </a:p>
      </xdr:txBody>
    </xdr:sp>
    <xdr:clientData/>
  </xdr:twoCellAnchor>
  <xdr:twoCellAnchor>
    <xdr:from>
      <xdr:col>12</xdr:col>
      <xdr:colOff>121090</xdr:colOff>
      <xdr:row>15</xdr:row>
      <xdr:rowOff>155309</xdr:rowOff>
    </xdr:from>
    <xdr:to>
      <xdr:col>15</xdr:col>
      <xdr:colOff>120656</xdr:colOff>
      <xdr:row>18</xdr:row>
      <xdr:rowOff>82015</xdr:rowOff>
    </xdr:to>
    <xdr:sp macro="[0]!PGMI" textlink="">
      <xdr:nvSpPr>
        <xdr:cNvPr id="35" name="Rectangle 34">
          <a:extLst>
            <a:ext uri="{FF2B5EF4-FFF2-40B4-BE49-F238E27FC236}">
              <a16:creationId xmlns:a16="http://schemas.microsoft.com/office/drawing/2014/main" id="{2B363EDC-7AB7-47A2-9F63-E9CBDB2D894B}"/>
            </a:ext>
          </a:extLst>
        </xdr:cNvPr>
        <xdr:cNvSpPr/>
      </xdr:nvSpPr>
      <xdr:spPr>
        <a:xfrm>
          <a:off x="7853886" y="3827447"/>
          <a:ext cx="1804303" cy="45308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PGMI</a:t>
          </a:r>
        </a:p>
      </xdr:txBody>
    </xdr:sp>
    <xdr:clientData/>
  </xdr:twoCellAnchor>
  <xdr:twoCellAnchor>
    <xdr:from>
      <xdr:col>12</xdr:col>
      <xdr:colOff>84692</xdr:colOff>
      <xdr:row>22</xdr:row>
      <xdr:rowOff>159586</xdr:rowOff>
    </xdr:from>
    <xdr:to>
      <xdr:col>15</xdr:col>
      <xdr:colOff>118548</xdr:colOff>
      <xdr:row>25</xdr:row>
      <xdr:rowOff>66509</xdr:rowOff>
    </xdr:to>
    <xdr:sp macro="[0]!STKO" textlink="">
      <xdr:nvSpPr>
        <xdr:cNvPr id="36" name="Rectangle 35">
          <a:extLst>
            <a:ext uri="{FF2B5EF4-FFF2-40B4-BE49-F238E27FC236}">
              <a16:creationId xmlns:a16="http://schemas.microsoft.com/office/drawing/2014/main" id="{AF05F2C3-0282-478D-9202-375656AC687E}"/>
            </a:ext>
          </a:extLst>
        </xdr:cNvPr>
        <xdr:cNvSpPr/>
      </xdr:nvSpPr>
      <xdr:spPr>
        <a:xfrm>
          <a:off x="7817488" y="5059948"/>
          <a:ext cx="1838593" cy="43330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STKO</a:t>
          </a:r>
        </a:p>
      </xdr:txBody>
    </xdr:sp>
    <xdr:clientData/>
  </xdr:twoCellAnchor>
  <xdr:twoCellAnchor>
    <xdr:from>
      <xdr:col>12</xdr:col>
      <xdr:colOff>54744</xdr:colOff>
      <xdr:row>29</xdr:row>
      <xdr:rowOff>122825</xdr:rowOff>
    </xdr:from>
    <xdr:to>
      <xdr:col>15</xdr:col>
      <xdr:colOff>107650</xdr:colOff>
      <xdr:row>32</xdr:row>
      <xdr:rowOff>43082</xdr:rowOff>
    </xdr:to>
    <xdr:sp macro="[0]!LQUA" textlink="">
      <xdr:nvSpPr>
        <xdr:cNvPr id="39" name="Rectangle 38">
          <a:extLst>
            <a:ext uri="{FF2B5EF4-FFF2-40B4-BE49-F238E27FC236}">
              <a16:creationId xmlns:a16="http://schemas.microsoft.com/office/drawing/2014/main" id="{40E29627-89DA-4BDD-A6BC-0C6B29E4ED20}"/>
            </a:ext>
          </a:extLst>
        </xdr:cNvPr>
        <xdr:cNvSpPr/>
      </xdr:nvSpPr>
      <xdr:spPr>
        <a:xfrm>
          <a:off x="7787540" y="6251411"/>
          <a:ext cx="1857643" cy="44663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LQUA</a:t>
          </a:r>
        </a:p>
      </xdr:txBody>
    </xdr:sp>
    <xdr:clientData/>
  </xdr:twoCellAnchor>
  <xdr:twoCellAnchor>
    <xdr:from>
      <xdr:col>2</xdr:col>
      <xdr:colOff>327524</xdr:colOff>
      <xdr:row>36</xdr:row>
      <xdr:rowOff>70417</xdr:rowOff>
    </xdr:from>
    <xdr:to>
      <xdr:col>5</xdr:col>
      <xdr:colOff>344235</xdr:colOff>
      <xdr:row>38</xdr:row>
      <xdr:rowOff>143275</xdr:rowOff>
    </xdr:to>
    <xdr:sp macro="[0]!MBEW" textlink="">
      <xdr:nvSpPr>
        <xdr:cNvPr id="40" name="Rectangle 39">
          <a:extLst>
            <a:ext uri="{FF2B5EF4-FFF2-40B4-BE49-F238E27FC236}">
              <a16:creationId xmlns:a16="http://schemas.microsoft.com/office/drawing/2014/main" id="{38E66954-C1C6-4C88-9B65-7D954ABCD2F3}"/>
            </a:ext>
          </a:extLst>
        </xdr:cNvPr>
        <xdr:cNvSpPr/>
      </xdr:nvSpPr>
      <xdr:spPr>
        <a:xfrm>
          <a:off x="2044531" y="7427226"/>
          <a:ext cx="1821447" cy="423779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MBEW</a:t>
          </a:r>
        </a:p>
      </xdr:txBody>
    </xdr:sp>
    <xdr:clientData/>
  </xdr:twoCellAnchor>
  <xdr:twoCellAnchor>
    <xdr:from>
      <xdr:col>6</xdr:col>
      <xdr:colOff>53942</xdr:colOff>
      <xdr:row>1</xdr:row>
      <xdr:rowOff>459907</xdr:rowOff>
    </xdr:from>
    <xdr:to>
      <xdr:col>10</xdr:col>
      <xdr:colOff>288257</xdr:colOff>
      <xdr:row>6</xdr:row>
      <xdr:rowOff>37598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6114B20-655E-9ABC-01DB-1DA202429509}"/>
            </a:ext>
          </a:extLst>
        </xdr:cNvPr>
        <xdr:cNvSpPr txBox="1"/>
      </xdr:nvSpPr>
      <xdr:spPr>
        <a:xfrm>
          <a:off x="4177264" y="1287078"/>
          <a:ext cx="2640631" cy="843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de datos maestros</a:t>
          </a:r>
          <a:r>
            <a:rPr lang="en-US" sz="1100" baseline="0">
              <a:solidFill>
                <a:schemeClr val="bg1"/>
              </a:solidFill>
            </a:rPr>
            <a:t> (X-plant material status, peso Ferts, etc)</a:t>
          </a:r>
        </a:p>
        <a:p>
          <a:r>
            <a:rPr lang="en-US" sz="1100" b="1" baseline="0">
              <a:solidFill>
                <a:schemeClr val="bg1"/>
              </a:solidFill>
            </a:rPr>
            <a:t>-Datos centrales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101302</xdr:colOff>
      <xdr:row>36</xdr:row>
      <xdr:rowOff>66341</xdr:rowOff>
    </xdr:from>
    <xdr:to>
      <xdr:col>15</xdr:col>
      <xdr:colOff>106583</xdr:colOff>
      <xdr:row>38</xdr:row>
      <xdr:rowOff>166604</xdr:rowOff>
    </xdr:to>
    <xdr:sp macro="[0]!LTAP" textlink="">
      <xdr:nvSpPr>
        <xdr:cNvPr id="2" name="Rectangle 1">
          <a:extLst>
            <a:ext uri="{FF2B5EF4-FFF2-40B4-BE49-F238E27FC236}">
              <a16:creationId xmlns:a16="http://schemas.microsoft.com/office/drawing/2014/main" id="{EACB649A-AA36-471C-9CE5-26F3FF71D057}"/>
            </a:ext>
          </a:extLst>
        </xdr:cNvPr>
        <xdr:cNvSpPr/>
      </xdr:nvSpPr>
      <xdr:spPr>
        <a:xfrm>
          <a:off x="7834098" y="7423150"/>
          <a:ext cx="1810018" cy="45118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LTAP</a:t>
          </a:r>
        </a:p>
      </xdr:txBody>
    </xdr:sp>
    <xdr:clientData/>
  </xdr:twoCellAnchor>
  <xdr:twoCellAnchor>
    <xdr:from>
      <xdr:col>6</xdr:col>
      <xdr:colOff>57753</xdr:colOff>
      <xdr:row>8</xdr:row>
      <xdr:rowOff>53941</xdr:rowOff>
    </xdr:from>
    <xdr:to>
      <xdr:col>10</xdr:col>
      <xdr:colOff>274622</xdr:colOff>
      <xdr:row>12</xdr:row>
      <xdr:rowOff>162927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5122D9-B4AB-4AD0-AE03-8107802B9F56}"/>
            </a:ext>
          </a:extLst>
        </xdr:cNvPr>
        <xdr:cNvSpPr txBox="1"/>
      </xdr:nvSpPr>
      <xdr:spPr>
        <a:xfrm>
          <a:off x="4181075" y="2497855"/>
          <a:ext cx="2623185" cy="810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de datos maestros</a:t>
          </a:r>
          <a:r>
            <a:rPr lang="en-US" sz="1100" baseline="0">
              <a:solidFill>
                <a:schemeClr val="bg1"/>
              </a:solidFill>
            </a:rPr>
            <a:t> (Plant material estatus, material grouping, etc)</a:t>
          </a:r>
        </a:p>
        <a:p>
          <a:r>
            <a:rPr lang="en-US" sz="1100" b="1" baseline="0">
              <a:solidFill>
                <a:schemeClr val="bg1"/>
              </a:solidFill>
            </a:rPr>
            <a:t>-Datos locales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41410</xdr:colOff>
      <xdr:row>15</xdr:row>
      <xdr:rowOff>43716</xdr:rowOff>
    </xdr:from>
    <xdr:to>
      <xdr:col>10</xdr:col>
      <xdr:colOff>258279</xdr:colOff>
      <xdr:row>19</xdr:row>
      <xdr:rowOff>3709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0ADF1A8-28BC-49E2-BBF7-C8738CFDB7A8}"/>
            </a:ext>
          </a:extLst>
        </xdr:cNvPr>
        <xdr:cNvSpPr txBox="1"/>
      </xdr:nvSpPr>
      <xdr:spPr>
        <a:xfrm>
          <a:off x="4164732" y="3715854"/>
          <a:ext cx="2623185" cy="661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relacionada a stock placement y special movement (WHSE)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9324</xdr:colOff>
      <xdr:row>22</xdr:row>
      <xdr:rowOff>92642</xdr:rowOff>
    </xdr:from>
    <xdr:to>
      <xdr:col>10</xdr:col>
      <xdr:colOff>233813</xdr:colOff>
      <xdr:row>26</xdr:row>
      <xdr:rowOff>60256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26C2E81-828A-46D3-8069-D1A9A9DAF05D}"/>
            </a:ext>
          </a:extLst>
        </xdr:cNvPr>
        <xdr:cNvSpPr txBox="1"/>
      </xdr:nvSpPr>
      <xdr:spPr>
        <a:xfrm>
          <a:off x="4132646" y="4993004"/>
          <a:ext cx="2630805" cy="669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relacionada a las product</a:t>
          </a:r>
          <a:r>
            <a:rPr lang="en-US" sz="1100" baseline="0">
              <a:solidFill>
                <a:schemeClr val="bg1"/>
              </a:solidFill>
            </a:rPr>
            <a:t> version por subensamble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565885</xdr:colOff>
      <xdr:row>30</xdr:row>
      <xdr:rowOff>17446</xdr:rowOff>
    </xdr:from>
    <xdr:to>
      <xdr:col>10</xdr:col>
      <xdr:colOff>171650</xdr:colOff>
      <xdr:row>33</xdr:row>
      <xdr:rowOff>173855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2454668-A72A-4FB6-9D24-230E3F5F279F}"/>
            </a:ext>
          </a:extLst>
        </xdr:cNvPr>
        <xdr:cNvSpPr txBox="1"/>
      </xdr:nvSpPr>
      <xdr:spPr>
        <a:xfrm>
          <a:off x="4087628" y="6321492"/>
          <a:ext cx="2613660" cy="68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de inventario</a:t>
          </a:r>
          <a:r>
            <a:rPr lang="en-US" sz="1100" baseline="0">
              <a:solidFill>
                <a:schemeClr val="bg1"/>
              </a:solidFill>
            </a:rPr>
            <a:t> disponible de un material (masiva MB52)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517960</xdr:colOff>
      <xdr:row>35</xdr:row>
      <xdr:rowOff>72188</xdr:rowOff>
    </xdr:from>
    <xdr:to>
      <xdr:col>10</xdr:col>
      <xdr:colOff>210052</xdr:colOff>
      <xdr:row>40</xdr:row>
      <xdr:rowOff>44416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147CC23-DBD8-4D96-9A20-634B723956F6}"/>
            </a:ext>
          </a:extLst>
        </xdr:cNvPr>
        <xdr:cNvSpPr txBox="1"/>
      </xdr:nvSpPr>
      <xdr:spPr>
        <a:xfrm>
          <a:off x="4039703" y="7253537"/>
          <a:ext cx="2699987" cy="849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el</a:t>
          </a:r>
          <a:r>
            <a:rPr lang="en-US" sz="1100" baseline="0">
              <a:solidFill>
                <a:schemeClr val="bg1"/>
              </a:solidFill>
            </a:rPr>
            <a:t> precio de un material. </a:t>
          </a:r>
        </a:p>
        <a:p>
          <a:r>
            <a:rPr lang="en-US" sz="1100" b="1" baseline="0">
              <a:solidFill>
                <a:schemeClr val="bg1"/>
              </a:solidFill>
            </a:rPr>
            <a:t>*Dato a tomar en cuenta Std Price</a:t>
          </a:r>
        </a:p>
        <a:p>
          <a:r>
            <a:rPr lang="en-US" sz="1100" b="0" baseline="0">
              <a:solidFill>
                <a:schemeClr val="bg1"/>
              </a:solidFill>
            </a:rPr>
            <a:t>(Obtenido de MM03, vista costing 2)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26970</xdr:colOff>
      <xdr:row>0</xdr:row>
      <xdr:rowOff>0</xdr:rowOff>
    </xdr:from>
    <xdr:to>
      <xdr:col>3</xdr:col>
      <xdr:colOff>209249</xdr:colOff>
      <xdr:row>0</xdr:row>
      <xdr:rowOff>814638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8E16D36-3741-CF53-17AD-D073DBDAC616}"/>
            </a:ext>
          </a:extLst>
        </xdr:cNvPr>
        <xdr:cNvGrpSpPr/>
      </xdr:nvGrpSpPr>
      <xdr:grpSpPr>
        <a:xfrm>
          <a:off x="30145" y="0"/>
          <a:ext cx="2547821" cy="811463"/>
          <a:chOff x="10794631" y="5290320"/>
          <a:chExt cx="9471059" cy="2960138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CE38A59F-5BC7-262C-1DC0-C39D075891B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t="1" b="-2829"/>
          <a:stretch/>
        </xdr:blipFill>
        <xdr:spPr>
          <a:xfrm>
            <a:off x="10794631" y="5290320"/>
            <a:ext cx="9471059" cy="2960138"/>
          </a:xfrm>
          <a:prstGeom prst="rect">
            <a:avLst/>
          </a:prstGeom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290E82E2-C120-CFD5-AB48-5DA71E4A677F}"/>
              </a:ext>
            </a:extLst>
          </xdr:cNvPr>
          <xdr:cNvSpPr/>
        </xdr:nvSpPr>
        <xdr:spPr>
          <a:xfrm>
            <a:off x="15216839" y="7356809"/>
            <a:ext cx="4783756" cy="718185"/>
          </a:xfrm>
          <a:prstGeom prst="rect">
            <a:avLst/>
          </a:prstGeom>
          <a:solidFill>
            <a:srgbClr val="000000"/>
          </a:solidFill>
          <a:ln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15</xdr:col>
      <xdr:colOff>385813</xdr:colOff>
      <xdr:row>1</xdr:row>
      <xdr:rowOff>495601</xdr:rowOff>
    </xdr:from>
    <xdr:to>
      <xdr:col>19</xdr:col>
      <xdr:colOff>690914</xdr:colOff>
      <xdr:row>4</xdr:row>
      <xdr:rowOff>116607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0402185-B360-4B2D-86C9-5182700A8873}"/>
            </a:ext>
          </a:extLst>
        </xdr:cNvPr>
        <xdr:cNvSpPr txBox="1"/>
      </xdr:nvSpPr>
      <xdr:spPr>
        <a:xfrm>
          <a:off x="9923346" y="1322772"/>
          <a:ext cx="2711417" cy="53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la cantidad de BOMs creadas para un subensamble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384709</xdr:colOff>
      <xdr:row>8</xdr:row>
      <xdr:rowOff>112796</xdr:rowOff>
    </xdr:from>
    <xdr:to>
      <xdr:col>19</xdr:col>
      <xdr:colOff>1077827</xdr:colOff>
      <xdr:row>11</xdr:row>
      <xdr:rowOff>129941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DD0DC8C-6975-420C-9682-336DE4589DBA}"/>
            </a:ext>
          </a:extLst>
        </xdr:cNvPr>
        <xdr:cNvSpPr txBox="1"/>
      </xdr:nvSpPr>
      <xdr:spPr>
        <a:xfrm>
          <a:off x="9922242" y="2556710"/>
          <a:ext cx="3099434" cy="543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 la cantidad de rutas creadas y validez para un subensamble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413584</xdr:colOff>
      <xdr:row>16</xdr:row>
      <xdr:rowOff>1906</xdr:rowOff>
    </xdr:from>
    <xdr:to>
      <xdr:col>19</xdr:col>
      <xdr:colOff>1114322</xdr:colOff>
      <xdr:row>19</xdr:row>
      <xdr:rowOff>19052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E8E40B5-7B18-490F-8363-7F2608FE623C}"/>
            </a:ext>
          </a:extLst>
        </xdr:cNvPr>
        <xdr:cNvSpPr txBox="1"/>
      </xdr:nvSpPr>
      <xdr:spPr>
        <a:xfrm>
          <a:off x="9951117" y="3849505"/>
          <a:ext cx="3107054" cy="543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 de product groups</a:t>
          </a:r>
        </a:p>
        <a:p>
          <a:r>
            <a:rPr lang="en-US" sz="1100" b="1" baseline="0">
              <a:solidFill>
                <a:schemeClr val="bg1"/>
              </a:solidFill>
            </a:rPr>
            <a:t>*Dato utilizado por control de producción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397244</xdr:colOff>
      <xdr:row>22</xdr:row>
      <xdr:rowOff>164832</xdr:rowOff>
    </xdr:from>
    <xdr:to>
      <xdr:col>19</xdr:col>
      <xdr:colOff>1115127</xdr:colOff>
      <xdr:row>26</xdr:row>
      <xdr:rowOff>2707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9743BD0-3E5B-4703-A345-0554C5358B4E}"/>
            </a:ext>
          </a:extLst>
        </xdr:cNvPr>
        <xdr:cNvSpPr txBox="1"/>
      </xdr:nvSpPr>
      <xdr:spPr>
        <a:xfrm>
          <a:off x="9934777" y="5065194"/>
          <a:ext cx="3124199" cy="539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r la validez de un número de parte de BOM (No. de Bill Of Material)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388519</xdr:colOff>
      <xdr:row>29</xdr:row>
      <xdr:rowOff>125329</xdr:rowOff>
    </xdr:from>
    <xdr:to>
      <xdr:col>19</xdr:col>
      <xdr:colOff>1100687</xdr:colOff>
      <xdr:row>32</xdr:row>
      <xdr:rowOff>146285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F986741-DA81-42BA-9B0C-7611F629003C}"/>
            </a:ext>
          </a:extLst>
        </xdr:cNvPr>
        <xdr:cNvSpPr txBox="1"/>
      </xdr:nvSpPr>
      <xdr:spPr>
        <a:xfrm>
          <a:off x="9926052" y="6253915"/>
          <a:ext cx="3118484" cy="547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r información de quants, storage bin, storage Unit, de un material o subensamble (WHSE)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388520</xdr:colOff>
      <xdr:row>36</xdr:row>
      <xdr:rowOff>62665</xdr:rowOff>
    </xdr:from>
    <xdr:to>
      <xdr:col>19</xdr:col>
      <xdr:colOff>1094973</xdr:colOff>
      <xdr:row>39</xdr:row>
      <xdr:rowOff>77905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CA15D4B6-B032-4DD9-AF02-2A2AEFB7DB63}"/>
            </a:ext>
          </a:extLst>
        </xdr:cNvPr>
        <xdr:cNvSpPr txBox="1"/>
      </xdr:nvSpPr>
      <xdr:spPr>
        <a:xfrm>
          <a:off x="9926053" y="7419474"/>
          <a:ext cx="3112769" cy="541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las</a:t>
          </a:r>
          <a:r>
            <a:rPr lang="en-US" sz="1100" baseline="0">
              <a:solidFill>
                <a:schemeClr val="bg1"/>
              </a:solidFill>
            </a:rPr>
            <a:t> Transfer Order (TO) de un material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idu3624/Downloads/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1000"/>
  <sheetViews>
    <sheetView showGridLines="0" showRowColHeaders="0" tabSelected="1" zoomScale="76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4" customWidth="1"/>
    <col min="3" max="19" width="8.7265625" style="1"/>
    <col min="20" max="20" width="17.7265625" style="1" customWidth="1"/>
    <col min="21" max="21" width="14.26953125" style="1" bestFit="1" customWidth="1"/>
    <col min="22" max="22" width="17.54296875" style="1" customWidth="1"/>
    <col min="23" max="16384" width="8.7265625" style="1"/>
  </cols>
  <sheetData>
    <row r="1" spans="2:16" ht="65.650000000000006" customHeight="1" x14ac:dyDescent="0.35">
      <c r="B1" s="2"/>
    </row>
    <row r="2" spans="2:16" ht="44.65" customHeight="1" x14ac:dyDescent="0.35">
      <c r="B2" s="19" t="s">
        <v>324</v>
      </c>
    </row>
    <row r="3" spans="2:16" x14ac:dyDescent="0.35">
      <c r="B3" s="15"/>
    </row>
    <row r="4" spans="2:16" x14ac:dyDescent="0.35">
      <c r="B4" s="15"/>
    </row>
    <row r="5" spans="2:16" x14ac:dyDescent="0.35">
      <c r="B5" s="15"/>
      <c r="P5" s="1" t="s">
        <v>0</v>
      </c>
    </row>
    <row r="6" spans="2:16" x14ac:dyDescent="0.35">
      <c r="B6" s="15"/>
    </row>
    <row r="7" spans="2:16" x14ac:dyDescent="0.35">
      <c r="B7" s="15"/>
    </row>
    <row r="8" spans="2:16" x14ac:dyDescent="0.35">
      <c r="B8" s="15"/>
    </row>
    <row r="9" spans="2:16" x14ac:dyDescent="0.35">
      <c r="B9" s="15"/>
    </row>
    <row r="10" spans="2:16" x14ac:dyDescent="0.35">
      <c r="B10" s="15"/>
    </row>
    <row r="11" spans="2:16" x14ac:dyDescent="0.35">
      <c r="B11" s="15"/>
    </row>
    <row r="12" spans="2:16" x14ac:dyDescent="0.35">
      <c r="B12" s="15"/>
    </row>
    <row r="13" spans="2:16" x14ac:dyDescent="0.35">
      <c r="B13" s="15"/>
    </row>
    <row r="14" spans="2:16" x14ac:dyDescent="0.35">
      <c r="B14" s="15"/>
    </row>
    <row r="15" spans="2:16" x14ac:dyDescent="0.35">
      <c r="B15" s="15"/>
    </row>
    <row r="16" spans="2:16" x14ac:dyDescent="0.35">
      <c r="B16" s="15"/>
    </row>
    <row r="17" spans="2:2" x14ac:dyDescent="0.35">
      <c r="B17" s="15"/>
    </row>
    <row r="18" spans="2:2" x14ac:dyDescent="0.35">
      <c r="B18" s="15"/>
    </row>
    <row r="19" spans="2:2" x14ac:dyDescent="0.35">
      <c r="B19" s="15"/>
    </row>
    <row r="20" spans="2:2" x14ac:dyDescent="0.35">
      <c r="B20" s="15"/>
    </row>
    <row r="21" spans="2:2" x14ac:dyDescent="0.35">
      <c r="B21" s="15"/>
    </row>
    <row r="22" spans="2:2" x14ac:dyDescent="0.35">
      <c r="B22" s="15"/>
    </row>
    <row r="23" spans="2:2" x14ac:dyDescent="0.35">
      <c r="B23" s="15"/>
    </row>
    <row r="24" spans="2:2" x14ac:dyDescent="0.35">
      <c r="B24" s="15"/>
    </row>
    <row r="25" spans="2:2" x14ac:dyDescent="0.35">
      <c r="B25" s="15"/>
    </row>
    <row r="26" spans="2:2" x14ac:dyDescent="0.35">
      <c r="B26" s="15"/>
    </row>
    <row r="27" spans="2:2" x14ac:dyDescent="0.35">
      <c r="B27" s="15"/>
    </row>
    <row r="28" spans="2:2" x14ac:dyDescent="0.35">
      <c r="B28" s="15"/>
    </row>
    <row r="29" spans="2:2" x14ac:dyDescent="0.35">
      <c r="B29" s="15"/>
    </row>
    <row r="30" spans="2:2" x14ac:dyDescent="0.35">
      <c r="B30" s="15"/>
    </row>
    <row r="31" spans="2:2" x14ac:dyDescent="0.35">
      <c r="B31" s="15"/>
    </row>
    <row r="32" spans="2:2" x14ac:dyDescent="0.35">
      <c r="B32" s="15"/>
    </row>
    <row r="33" spans="2:2" x14ac:dyDescent="0.35">
      <c r="B33" s="15"/>
    </row>
    <row r="34" spans="2:2" x14ac:dyDescent="0.35">
      <c r="B34" s="15"/>
    </row>
    <row r="35" spans="2:2" x14ac:dyDescent="0.35">
      <c r="B35" s="15"/>
    </row>
    <row r="36" spans="2:2" x14ac:dyDescent="0.35">
      <c r="B36" s="15"/>
    </row>
    <row r="37" spans="2:2" x14ac:dyDescent="0.35">
      <c r="B37" s="15"/>
    </row>
    <row r="38" spans="2:2" x14ac:dyDescent="0.35">
      <c r="B38" s="15"/>
    </row>
    <row r="39" spans="2:2" x14ac:dyDescent="0.35">
      <c r="B39" s="15"/>
    </row>
    <row r="40" spans="2:2" x14ac:dyDescent="0.35">
      <c r="B40" s="15"/>
    </row>
    <row r="41" spans="2:2" x14ac:dyDescent="0.35">
      <c r="B41" s="15"/>
    </row>
    <row r="42" spans="2:2" x14ac:dyDescent="0.35">
      <c r="B42" s="15"/>
    </row>
    <row r="43" spans="2:2" x14ac:dyDescent="0.35">
      <c r="B43" s="15"/>
    </row>
    <row r="44" spans="2:2" x14ac:dyDescent="0.35">
      <c r="B44" s="15"/>
    </row>
    <row r="45" spans="2:2" x14ac:dyDescent="0.35">
      <c r="B45" s="15"/>
    </row>
    <row r="46" spans="2:2" x14ac:dyDescent="0.35">
      <c r="B46" s="15"/>
    </row>
    <row r="47" spans="2:2" x14ac:dyDescent="0.35">
      <c r="B47" s="15"/>
    </row>
    <row r="48" spans="2:2" x14ac:dyDescent="0.35">
      <c r="B48" s="15"/>
    </row>
    <row r="49" spans="2:2" x14ac:dyDescent="0.35">
      <c r="B49" s="15"/>
    </row>
    <row r="50" spans="2:2" x14ac:dyDescent="0.35">
      <c r="B50" s="15"/>
    </row>
    <row r="51" spans="2:2" x14ac:dyDescent="0.35">
      <c r="B51" s="15"/>
    </row>
    <row r="52" spans="2:2" x14ac:dyDescent="0.35">
      <c r="B52" s="15"/>
    </row>
    <row r="53" spans="2:2" x14ac:dyDescent="0.35">
      <c r="B53" s="15"/>
    </row>
    <row r="54" spans="2:2" x14ac:dyDescent="0.35">
      <c r="B54" s="15"/>
    </row>
    <row r="55" spans="2:2" x14ac:dyDescent="0.35">
      <c r="B55" s="15"/>
    </row>
    <row r="56" spans="2:2" x14ac:dyDescent="0.35">
      <c r="B56" s="15"/>
    </row>
    <row r="57" spans="2:2" x14ac:dyDescent="0.35">
      <c r="B57" s="15"/>
    </row>
    <row r="58" spans="2:2" x14ac:dyDescent="0.35">
      <c r="B58" s="15"/>
    </row>
    <row r="59" spans="2:2" x14ac:dyDescent="0.35">
      <c r="B59" s="15"/>
    </row>
    <row r="60" spans="2:2" x14ac:dyDescent="0.35">
      <c r="B60" s="15"/>
    </row>
    <row r="61" spans="2:2" x14ac:dyDescent="0.35">
      <c r="B61" s="15"/>
    </row>
    <row r="62" spans="2:2" x14ac:dyDescent="0.35">
      <c r="B62" s="15"/>
    </row>
    <row r="63" spans="2:2" x14ac:dyDescent="0.35">
      <c r="B63" s="15"/>
    </row>
    <row r="64" spans="2:2" x14ac:dyDescent="0.35">
      <c r="B64" s="15"/>
    </row>
    <row r="65" spans="2:2" x14ac:dyDescent="0.35">
      <c r="B65" s="15"/>
    </row>
    <row r="66" spans="2:2" x14ac:dyDescent="0.35">
      <c r="B66" s="15"/>
    </row>
    <row r="67" spans="2:2" x14ac:dyDescent="0.35">
      <c r="B67" s="15"/>
    </row>
    <row r="68" spans="2:2" x14ac:dyDescent="0.35">
      <c r="B68" s="15"/>
    </row>
    <row r="69" spans="2:2" x14ac:dyDescent="0.35">
      <c r="B69" s="15"/>
    </row>
    <row r="70" spans="2:2" x14ac:dyDescent="0.35">
      <c r="B70" s="15"/>
    </row>
    <row r="71" spans="2:2" x14ac:dyDescent="0.35">
      <c r="B71" s="15"/>
    </row>
    <row r="72" spans="2:2" x14ac:dyDescent="0.35">
      <c r="B72" s="15"/>
    </row>
    <row r="73" spans="2:2" x14ac:dyDescent="0.35">
      <c r="B73" s="15"/>
    </row>
    <row r="74" spans="2:2" x14ac:dyDescent="0.35">
      <c r="B74" s="15"/>
    </row>
    <row r="75" spans="2:2" x14ac:dyDescent="0.35">
      <c r="B75" s="15"/>
    </row>
    <row r="76" spans="2:2" x14ac:dyDescent="0.35">
      <c r="B76" s="15"/>
    </row>
    <row r="77" spans="2:2" x14ac:dyDescent="0.35">
      <c r="B77" s="15"/>
    </row>
    <row r="78" spans="2:2" x14ac:dyDescent="0.35">
      <c r="B78" s="15"/>
    </row>
    <row r="79" spans="2:2" x14ac:dyDescent="0.35">
      <c r="B79" s="15"/>
    </row>
    <row r="80" spans="2:2" x14ac:dyDescent="0.35">
      <c r="B80" s="15"/>
    </row>
    <row r="81" spans="2:2" x14ac:dyDescent="0.35">
      <c r="B81" s="15"/>
    </row>
    <row r="82" spans="2:2" x14ac:dyDescent="0.35">
      <c r="B82" s="15"/>
    </row>
    <row r="83" spans="2:2" x14ac:dyDescent="0.35">
      <c r="B83" s="15"/>
    </row>
    <row r="84" spans="2:2" x14ac:dyDescent="0.35">
      <c r="B84" s="16"/>
    </row>
    <row r="85" spans="2:2" x14ac:dyDescent="0.35">
      <c r="B85" s="16"/>
    </row>
    <row r="86" spans="2:2" x14ac:dyDescent="0.35">
      <c r="B86" s="16"/>
    </row>
    <row r="87" spans="2:2" x14ac:dyDescent="0.35">
      <c r="B87" s="16"/>
    </row>
    <row r="88" spans="2:2" x14ac:dyDescent="0.35">
      <c r="B88" s="16"/>
    </row>
    <row r="89" spans="2:2" x14ac:dyDescent="0.35">
      <c r="B89" s="16"/>
    </row>
    <row r="90" spans="2:2" x14ac:dyDescent="0.35">
      <c r="B90" s="16"/>
    </row>
    <row r="91" spans="2:2" x14ac:dyDescent="0.35">
      <c r="B91" s="16"/>
    </row>
    <row r="92" spans="2:2" x14ac:dyDescent="0.35">
      <c r="B92" s="16"/>
    </row>
    <row r="93" spans="2:2" x14ac:dyDescent="0.35">
      <c r="B93" s="16"/>
    </row>
    <row r="94" spans="2:2" x14ac:dyDescent="0.35">
      <c r="B94" s="16"/>
    </row>
    <row r="95" spans="2:2" x14ac:dyDescent="0.35">
      <c r="B95" s="16"/>
    </row>
    <row r="96" spans="2:2" x14ac:dyDescent="0.35">
      <c r="B96" s="16"/>
    </row>
    <row r="97" spans="2:2" x14ac:dyDescent="0.35">
      <c r="B97" s="16"/>
    </row>
    <row r="98" spans="2:2" x14ac:dyDescent="0.35">
      <c r="B98" s="16"/>
    </row>
    <row r="99" spans="2:2" x14ac:dyDescent="0.35">
      <c r="B99" s="16"/>
    </row>
    <row r="100" spans="2:2" x14ac:dyDescent="0.35">
      <c r="B100" s="16"/>
    </row>
    <row r="101" spans="2:2" x14ac:dyDescent="0.35">
      <c r="B101" s="16"/>
    </row>
    <row r="102" spans="2:2" x14ac:dyDescent="0.35">
      <c r="B102" s="16"/>
    </row>
    <row r="103" spans="2:2" x14ac:dyDescent="0.35">
      <c r="B103" s="16"/>
    </row>
    <row r="104" spans="2:2" x14ac:dyDescent="0.35">
      <c r="B104" s="16"/>
    </row>
    <row r="105" spans="2:2" x14ac:dyDescent="0.35">
      <c r="B105" s="16"/>
    </row>
    <row r="106" spans="2:2" x14ac:dyDescent="0.35">
      <c r="B106" s="16"/>
    </row>
    <row r="107" spans="2:2" x14ac:dyDescent="0.35">
      <c r="B107" s="16"/>
    </row>
    <row r="108" spans="2:2" x14ac:dyDescent="0.35">
      <c r="B108" s="16"/>
    </row>
    <row r="109" spans="2:2" x14ac:dyDescent="0.35">
      <c r="B109" s="16"/>
    </row>
    <row r="110" spans="2:2" x14ac:dyDescent="0.35">
      <c r="B110" s="16"/>
    </row>
    <row r="111" spans="2:2" x14ac:dyDescent="0.35">
      <c r="B111" s="16"/>
    </row>
    <row r="112" spans="2:2" x14ac:dyDescent="0.35">
      <c r="B112" s="16"/>
    </row>
    <row r="113" spans="2:2" x14ac:dyDescent="0.35">
      <c r="B113" s="16"/>
    </row>
    <row r="114" spans="2:2" x14ac:dyDescent="0.35">
      <c r="B114" s="16"/>
    </row>
    <row r="115" spans="2:2" x14ac:dyDescent="0.35">
      <c r="B115" s="16"/>
    </row>
    <row r="116" spans="2:2" x14ac:dyDescent="0.35">
      <c r="B116" s="16"/>
    </row>
    <row r="117" spans="2:2" x14ac:dyDescent="0.35">
      <c r="B117" s="16"/>
    </row>
    <row r="118" spans="2:2" x14ac:dyDescent="0.35">
      <c r="B118" s="16"/>
    </row>
    <row r="119" spans="2:2" x14ac:dyDescent="0.35">
      <c r="B119" s="16"/>
    </row>
    <row r="120" spans="2:2" x14ac:dyDescent="0.35">
      <c r="B120" s="16"/>
    </row>
    <row r="121" spans="2:2" x14ac:dyDescent="0.35">
      <c r="B121" s="16"/>
    </row>
    <row r="122" spans="2:2" x14ac:dyDescent="0.35">
      <c r="B122" s="16"/>
    </row>
    <row r="123" spans="2:2" x14ac:dyDescent="0.35">
      <c r="B123" s="16"/>
    </row>
    <row r="124" spans="2:2" x14ac:dyDescent="0.35">
      <c r="B124" s="16"/>
    </row>
    <row r="125" spans="2:2" x14ac:dyDescent="0.35">
      <c r="B125" s="16"/>
    </row>
    <row r="126" spans="2:2" x14ac:dyDescent="0.35">
      <c r="B126" s="16"/>
    </row>
    <row r="127" spans="2:2" x14ac:dyDescent="0.35">
      <c r="B127" s="16"/>
    </row>
    <row r="128" spans="2:2" x14ac:dyDescent="0.35">
      <c r="B128" s="16"/>
    </row>
    <row r="129" spans="2:2" x14ac:dyDescent="0.35">
      <c r="B129" s="16"/>
    </row>
    <row r="130" spans="2:2" x14ac:dyDescent="0.35">
      <c r="B130" s="16"/>
    </row>
    <row r="131" spans="2:2" x14ac:dyDescent="0.35">
      <c r="B131" s="16"/>
    </row>
    <row r="132" spans="2:2" x14ac:dyDescent="0.35">
      <c r="B132" s="16"/>
    </row>
    <row r="133" spans="2:2" x14ac:dyDescent="0.35">
      <c r="B133" s="16"/>
    </row>
    <row r="134" spans="2:2" x14ac:dyDescent="0.35">
      <c r="B134" s="16"/>
    </row>
    <row r="135" spans="2:2" x14ac:dyDescent="0.35">
      <c r="B135" s="16"/>
    </row>
    <row r="136" spans="2:2" x14ac:dyDescent="0.35">
      <c r="B136" s="16"/>
    </row>
    <row r="137" spans="2:2" x14ac:dyDescent="0.35">
      <c r="B137" s="16"/>
    </row>
    <row r="138" spans="2:2" x14ac:dyDescent="0.35">
      <c r="B138" s="16"/>
    </row>
    <row r="139" spans="2:2" x14ac:dyDescent="0.35">
      <c r="B139" s="16"/>
    </row>
    <row r="140" spans="2:2" x14ac:dyDescent="0.35">
      <c r="B140" s="16"/>
    </row>
    <row r="141" spans="2:2" x14ac:dyDescent="0.35">
      <c r="B141" s="16"/>
    </row>
    <row r="142" spans="2:2" x14ac:dyDescent="0.35">
      <c r="B142" s="15"/>
    </row>
    <row r="143" spans="2:2" x14ac:dyDescent="0.35">
      <c r="B143" s="15"/>
    </row>
    <row r="144" spans="2:2" x14ac:dyDescent="0.35">
      <c r="B144" s="15"/>
    </row>
    <row r="145" spans="2:2" x14ac:dyDescent="0.35">
      <c r="B145" s="15"/>
    </row>
    <row r="146" spans="2:2" x14ac:dyDescent="0.35">
      <c r="B146" s="15"/>
    </row>
    <row r="147" spans="2:2" x14ac:dyDescent="0.35">
      <c r="B147" s="15"/>
    </row>
    <row r="148" spans="2:2" x14ac:dyDescent="0.35">
      <c r="B148" s="15"/>
    </row>
    <row r="149" spans="2:2" x14ac:dyDescent="0.35">
      <c r="B149" s="15"/>
    </row>
    <row r="150" spans="2:2" x14ac:dyDescent="0.35">
      <c r="B150" s="15"/>
    </row>
    <row r="151" spans="2:2" x14ac:dyDescent="0.35">
      <c r="B151" s="15"/>
    </row>
    <row r="152" spans="2:2" x14ac:dyDescent="0.35">
      <c r="B152" s="15"/>
    </row>
    <row r="153" spans="2:2" x14ac:dyDescent="0.35">
      <c r="B153" s="15"/>
    </row>
    <row r="154" spans="2:2" x14ac:dyDescent="0.35">
      <c r="B154" s="15"/>
    </row>
    <row r="155" spans="2:2" x14ac:dyDescent="0.35">
      <c r="B155" s="15"/>
    </row>
    <row r="156" spans="2:2" x14ac:dyDescent="0.35">
      <c r="B156" s="15"/>
    </row>
    <row r="157" spans="2:2" x14ac:dyDescent="0.35">
      <c r="B157" s="15"/>
    </row>
    <row r="158" spans="2:2" x14ac:dyDescent="0.35">
      <c r="B158" s="15"/>
    </row>
    <row r="159" spans="2:2" x14ac:dyDescent="0.35">
      <c r="B159" s="15"/>
    </row>
    <row r="160" spans="2:2" x14ac:dyDescent="0.35">
      <c r="B160" s="15"/>
    </row>
    <row r="161" spans="2:2" x14ac:dyDescent="0.35">
      <c r="B161" s="15"/>
    </row>
    <row r="162" spans="2:2" x14ac:dyDescent="0.35">
      <c r="B162" s="15"/>
    </row>
    <row r="163" spans="2:2" x14ac:dyDescent="0.35">
      <c r="B163" s="15"/>
    </row>
    <row r="164" spans="2:2" x14ac:dyDescent="0.35">
      <c r="B164" s="15"/>
    </row>
    <row r="165" spans="2:2" x14ac:dyDescent="0.35">
      <c r="B165" s="15"/>
    </row>
    <row r="166" spans="2:2" x14ac:dyDescent="0.35">
      <c r="B166" s="15"/>
    </row>
    <row r="167" spans="2:2" x14ac:dyDescent="0.35">
      <c r="B167" s="15"/>
    </row>
    <row r="168" spans="2:2" x14ac:dyDescent="0.35">
      <c r="B168" s="15"/>
    </row>
    <row r="169" spans="2:2" x14ac:dyDescent="0.35">
      <c r="B169" s="15"/>
    </row>
    <row r="170" spans="2:2" x14ac:dyDescent="0.35">
      <c r="B170" s="15"/>
    </row>
    <row r="171" spans="2:2" x14ac:dyDescent="0.35">
      <c r="B171" s="15"/>
    </row>
    <row r="172" spans="2:2" x14ac:dyDescent="0.35">
      <c r="B172" s="15"/>
    </row>
    <row r="173" spans="2:2" x14ac:dyDescent="0.35">
      <c r="B173" s="15"/>
    </row>
    <row r="174" spans="2:2" x14ac:dyDescent="0.35">
      <c r="B174" s="15"/>
    </row>
    <row r="175" spans="2:2" x14ac:dyDescent="0.35">
      <c r="B175" s="15"/>
    </row>
    <row r="176" spans="2:2" x14ac:dyDescent="0.35">
      <c r="B176" s="15"/>
    </row>
    <row r="177" spans="2:2" x14ac:dyDescent="0.35">
      <c r="B177" s="15"/>
    </row>
    <row r="178" spans="2:2" x14ac:dyDescent="0.35">
      <c r="B178" s="15"/>
    </row>
    <row r="179" spans="2:2" x14ac:dyDescent="0.35">
      <c r="B179" s="15"/>
    </row>
    <row r="180" spans="2:2" x14ac:dyDescent="0.35">
      <c r="B180" s="15"/>
    </row>
    <row r="181" spans="2:2" x14ac:dyDescent="0.35">
      <c r="B181" s="15"/>
    </row>
    <row r="182" spans="2:2" x14ac:dyDescent="0.35">
      <c r="B182" s="15"/>
    </row>
    <row r="183" spans="2:2" x14ac:dyDescent="0.35">
      <c r="B183" s="15"/>
    </row>
    <row r="184" spans="2:2" x14ac:dyDescent="0.35">
      <c r="B184" s="15"/>
    </row>
    <row r="185" spans="2:2" x14ac:dyDescent="0.35">
      <c r="B185" s="15"/>
    </row>
    <row r="186" spans="2:2" x14ac:dyDescent="0.35">
      <c r="B186" s="15"/>
    </row>
    <row r="187" spans="2:2" x14ac:dyDescent="0.35">
      <c r="B187" s="15"/>
    </row>
    <row r="188" spans="2:2" x14ac:dyDescent="0.35">
      <c r="B188" s="15"/>
    </row>
    <row r="189" spans="2:2" x14ac:dyDescent="0.35">
      <c r="B189" s="15"/>
    </row>
    <row r="190" spans="2:2" x14ac:dyDescent="0.35">
      <c r="B190" s="15"/>
    </row>
    <row r="191" spans="2:2" x14ac:dyDescent="0.35">
      <c r="B191" s="15"/>
    </row>
    <row r="192" spans="2:2" x14ac:dyDescent="0.35">
      <c r="B192" s="15"/>
    </row>
    <row r="193" spans="2:2" x14ac:dyDescent="0.35">
      <c r="B193" s="15"/>
    </row>
    <row r="194" spans="2:2" x14ac:dyDescent="0.35">
      <c r="B194" s="15"/>
    </row>
    <row r="195" spans="2:2" x14ac:dyDescent="0.35">
      <c r="B195" s="15"/>
    </row>
    <row r="196" spans="2:2" x14ac:dyDescent="0.35">
      <c r="B196" s="15"/>
    </row>
    <row r="197" spans="2:2" x14ac:dyDescent="0.35">
      <c r="B197" s="15"/>
    </row>
    <row r="198" spans="2:2" x14ac:dyDescent="0.35">
      <c r="B198" s="15"/>
    </row>
    <row r="199" spans="2:2" x14ac:dyDescent="0.35">
      <c r="B199" s="15"/>
    </row>
    <row r="200" spans="2:2" x14ac:dyDescent="0.35">
      <c r="B200" s="15"/>
    </row>
    <row r="201" spans="2:2" x14ac:dyDescent="0.35">
      <c r="B201" s="15"/>
    </row>
    <row r="202" spans="2:2" x14ac:dyDescent="0.35">
      <c r="B202" s="15"/>
    </row>
    <row r="203" spans="2:2" x14ac:dyDescent="0.35">
      <c r="B203" s="15"/>
    </row>
    <row r="204" spans="2:2" x14ac:dyDescent="0.35">
      <c r="B204" s="15"/>
    </row>
    <row r="205" spans="2:2" x14ac:dyDescent="0.35">
      <c r="B205" s="15"/>
    </row>
    <row r="206" spans="2:2" x14ac:dyDescent="0.35">
      <c r="B206" s="15"/>
    </row>
    <row r="207" spans="2:2" x14ac:dyDescent="0.35">
      <c r="B207" s="15"/>
    </row>
    <row r="208" spans="2:2" x14ac:dyDescent="0.35">
      <c r="B208" s="15"/>
    </row>
    <row r="209" spans="2:2" x14ac:dyDescent="0.35">
      <c r="B209" s="15"/>
    </row>
    <row r="210" spans="2:2" x14ac:dyDescent="0.35">
      <c r="B210" s="15"/>
    </row>
    <row r="211" spans="2:2" x14ac:dyDescent="0.35">
      <c r="B211" s="15"/>
    </row>
    <row r="212" spans="2:2" x14ac:dyDescent="0.35">
      <c r="B212" s="15"/>
    </row>
    <row r="213" spans="2:2" x14ac:dyDescent="0.35">
      <c r="B213" s="15"/>
    </row>
    <row r="214" spans="2:2" x14ac:dyDescent="0.35">
      <c r="B214" s="15"/>
    </row>
    <row r="215" spans="2:2" x14ac:dyDescent="0.35">
      <c r="B215" s="15"/>
    </row>
    <row r="216" spans="2:2" x14ac:dyDescent="0.35">
      <c r="B216" s="15"/>
    </row>
    <row r="217" spans="2:2" x14ac:dyDescent="0.35">
      <c r="B217" s="15"/>
    </row>
    <row r="218" spans="2:2" x14ac:dyDescent="0.35">
      <c r="B218" s="15"/>
    </row>
    <row r="219" spans="2:2" x14ac:dyDescent="0.35">
      <c r="B219" s="15"/>
    </row>
    <row r="220" spans="2:2" x14ac:dyDescent="0.35">
      <c r="B220" s="15"/>
    </row>
    <row r="221" spans="2:2" x14ac:dyDescent="0.35">
      <c r="B221" s="15"/>
    </row>
    <row r="222" spans="2:2" x14ac:dyDescent="0.35">
      <c r="B222" s="15"/>
    </row>
    <row r="223" spans="2:2" x14ac:dyDescent="0.35">
      <c r="B223" s="15"/>
    </row>
    <row r="224" spans="2:2" x14ac:dyDescent="0.35">
      <c r="B224" s="15"/>
    </row>
    <row r="225" spans="2:2" x14ac:dyDescent="0.35">
      <c r="B225" s="15"/>
    </row>
    <row r="226" spans="2:2" x14ac:dyDescent="0.35">
      <c r="B226" s="15"/>
    </row>
    <row r="227" spans="2:2" x14ac:dyDescent="0.35">
      <c r="B227" s="15"/>
    </row>
    <row r="228" spans="2:2" x14ac:dyDescent="0.35">
      <c r="B228" s="15"/>
    </row>
    <row r="229" spans="2:2" x14ac:dyDescent="0.35">
      <c r="B229" s="15"/>
    </row>
    <row r="230" spans="2:2" x14ac:dyDescent="0.35">
      <c r="B230" s="15"/>
    </row>
    <row r="231" spans="2:2" x14ac:dyDescent="0.35">
      <c r="B231" s="15"/>
    </row>
    <row r="232" spans="2:2" x14ac:dyDescent="0.35">
      <c r="B232" s="15"/>
    </row>
    <row r="233" spans="2:2" x14ac:dyDescent="0.35">
      <c r="B233" s="15"/>
    </row>
    <row r="234" spans="2:2" x14ac:dyDescent="0.35">
      <c r="B234" s="15"/>
    </row>
    <row r="235" spans="2:2" x14ac:dyDescent="0.35">
      <c r="B235" s="15"/>
    </row>
    <row r="236" spans="2:2" x14ac:dyDescent="0.35">
      <c r="B236" s="15"/>
    </row>
    <row r="237" spans="2:2" x14ac:dyDescent="0.35">
      <c r="B237" s="15"/>
    </row>
    <row r="238" spans="2:2" x14ac:dyDescent="0.35">
      <c r="B238" s="15"/>
    </row>
    <row r="239" spans="2:2" x14ac:dyDescent="0.35">
      <c r="B239" s="15"/>
    </row>
    <row r="240" spans="2:2" x14ac:dyDescent="0.35">
      <c r="B240" s="15"/>
    </row>
    <row r="241" spans="2:2" x14ac:dyDescent="0.35">
      <c r="B241" s="15"/>
    </row>
    <row r="242" spans="2:2" x14ac:dyDescent="0.35">
      <c r="B242" s="15"/>
    </row>
    <row r="243" spans="2:2" x14ac:dyDescent="0.35">
      <c r="B243" s="15"/>
    </row>
    <row r="244" spans="2:2" x14ac:dyDescent="0.35">
      <c r="B244" s="15"/>
    </row>
    <row r="245" spans="2:2" x14ac:dyDescent="0.35">
      <c r="B245" s="15"/>
    </row>
    <row r="246" spans="2:2" x14ac:dyDescent="0.35">
      <c r="B246" s="15"/>
    </row>
    <row r="247" spans="2:2" x14ac:dyDescent="0.35">
      <c r="B247" s="15"/>
    </row>
    <row r="248" spans="2:2" x14ac:dyDescent="0.35">
      <c r="B248" s="15"/>
    </row>
    <row r="249" spans="2:2" x14ac:dyDescent="0.35">
      <c r="B249" s="15"/>
    </row>
    <row r="250" spans="2:2" x14ac:dyDescent="0.35">
      <c r="B250" s="15"/>
    </row>
    <row r="251" spans="2:2" x14ac:dyDescent="0.35">
      <c r="B251" s="15"/>
    </row>
    <row r="252" spans="2:2" x14ac:dyDescent="0.35">
      <c r="B252" s="15"/>
    </row>
    <row r="253" spans="2:2" x14ac:dyDescent="0.35">
      <c r="B253" s="15"/>
    </row>
    <row r="254" spans="2:2" x14ac:dyDescent="0.35">
      <c r="B254" s="15"/>
    </row>
    <row r="255" spans="2:2" x14ac:dyDescent="0.35">
      <c r="B255" s="15"/>
    </row>
    <row r="256" spans="2:2" x14ac:dyDescent="0.35">
      <c r="B256" s="15"/>
    </row>
    <row r="257" spans="2:2" x14ac:dyDescent="0.35">
      <c r="B257" s="15"/>
    </row>
    <row r="258" spans="2:2" x14ac:dyDescent="0.35">
      <c r="B258" s="15"/>
    </row>
    <row r="259" spans="2:2" x14ac:dyDescent="0.35">
      <c r="B259" s="15"/>
    </row>
    <row r="260" spans="2:2" x14ac:dyDescent="0.35">
      <c r="B260" s="15"/>
    </row>
    <row r="261" spans="2:2" x14ac:dyDescent="0.35">
      <c r="B261" s="15"/>
    </row>
    <row r="262" spans="2:2" x14ac:dyDescent="0.35">
      <c r="B262" s="15"/>
    </row>
    <row r="263" spans="2:2" x14ac:dyDescent="0.35">
      <c r="B263" s="15"/>
    </row>
    <row r="264" spans="2:2" x14ac:dyDescent="0.35">
      <c r="B264" s="15"/>
    </row>
    <row r="265" spans="2:2" x14ac:dyDescent="0.35">
      <c r="B265" s="15"/>
    </row>
    <row r="266" spans="2:2" x14ac:dyDescent="0.35">
      <c r="B266" s="15"/>
    </row>
    <row r="267" spans="2:2" x14ac:dyDescent="0.35">
      <c r="B267" s="15"/>
    </row>
    <row r="268" spans="2:2" x14ac:dyDescent="0.35">
      <c r="B268" s="15"/>
    </row>
    <row r="269" spans="2:2" x14ac:dyDescent="0.35">
      <c r="B269" s="15"/>
    </row>
    <row r="270" spans="2:2" x14ac:dyDescent="0.35">
      <c r="B270" s="15"/>
    </row>
    <row r="271" spans="2:2" x14ac:dyDescent="0.35">
      <c r="B271" s="15"/>
    </row>
    <row r="272" spans="2:2" x14ac:dyDescent="0.35">
      <c r="B272" s="15"/>
    </row>
    <row r="273" spans="2:2" x14ac:dyDescent="0.35">
      <c r="B273" s="15"/>
    </row>
    <row r="274" spans="2:2" x14ac:dyDescent="0.35">
      <c r="B274" s="15"/>
    </row>
    <row r="275" spans="2:2" x14ac:dyDescent="0.35">
      <c r="B275" s="15"/>
    </row>
    <row r="276" spans="2:2" x14ac:dyDescent="0.35">
      <c r="B276" s="15"/>
    </row>
    <row r="277" spans="2:2" x14ac:dyDescent="0.35">
      <c r="B277" s="15"/>
    </row>
    <row r="278" spans="2:2" x14ac:dyDescent="0.35">
      <c r="B278" s="15"/>
    </row>
    <row r="279" spans="2:2" x14ac:dyDescent="0.35">
      <c r="B279" s="15"/>
    </row>
    <row r="280" spans="2:2" x14ac:dyDescent="0.35">
      <c r="B280" s="15"/>
    </row>
    <row r="281" spans="2:2" x14ac:dyDescent="0.35">
      <c r="B281" s="15"/>
    </row>
    <row r="282" spans="2:2" x14ac:dyDescent="0.35">
      <c r="B282" s="15"/>
    </row>
    <row r="283" spans="2:2" x14ac:dyDescent="0.35">
      <c r="B283" s="15"/>
    </row>
    <row r="284" spans="2:2" x14ac:dyDescent="0.35">
      <c r="B284" s="15"/>
    </row>
    <row r="285" spans="2:2" x14ac:dyDescent="0.35">
      <c r="B285" s="15"/>
    </row>
    <row r="286" spans="2:2" x14ac:dyDescent="0.35">
      <c r="B286" s="15"/>
    </row>
    <row r="287" spans="2:2" x14ac:dyDescent="0.35">
      <c r="B287" s="15"/>
    </row>
    <row r="288" spans="2:2" x14ac:dyDescent="0.35">
      <c r="B288" s="15"/>
    </row>
    <row r="289" spans="2:2" x14ac:dyDescent="0.35">
      <c r="B289" s="15"/>
    </row>
    <row r="290" spans="2:2" x14ac:dyDescent="0.35">
      <c r="B290" s="15"/>
    </row>
    <row r="291" spans="2:2" x14ac:dyDescent="0.35">
      <c r="B291" s="15"/>
    </row>
    <row r="292" spans="2:2" x14ac:dyDescent="0.35">
      <c r="B292" s="15"/>
    </row>
    <row r="293" spans="2:2" x14ac:dyDescent="0.35">
      <c r="B293" s="15"/>
    </row>
    <row r="294" spans="2:2" x14ac:dyDescent="0.35">
      <c r="B294" s="15"/>
    </row>
    <row r="295" spans="2:2" x14ac:dyDescent="0.35">
      <c r="B295" s="15"/>
    </row>
    <row r="296" spans="2:2" x14ac:dyDescent="0.35">
      <c r="B296" s="15"/>
    </row>
    <row r="297" spans="2:2" x14ac:dyDescent="0.35">
      <c r="B297" s="15"/>
    </row>
    <row r="298" spans="2:2" x14ac:dyDescent="0.35">
      <c r="B298" s="15"/>
    </row>
    <row r="299" spans="2:2" x14ac:dyDescent="0.35">
      <c r="B299" s="15"/>
    </row>
    <row r="300" spans="2:2" x14ac:dyDescent="0.35">
      <c r="B300" s="15"/>
    </row>
    <row r="301" spans="2:2" x14ac:dyDescent="0.35">
      <c r="B301" s="15"/>
    </row>
    <row r="302" spans="2:2" x14ac:dyDescent="0.35">
      <c r="B302" s="15"/>
    </row>
    <row r="303" spans="2:2" x14ac:dyDescent="0.35">
      <c r="B303" s="15"/>
    </row>
    <row r="304" spans="2:2" x14ac:dyDescent="0.35">
      <c r="B304" s="15"/>
    </row>
    <row r="305" spans="2:2" x14ac:dyDescent="0.35">
      <c r="B305" s="15"/>
    </row>
    <row r="306" spans="2:2" x14ac:dyDescent="0.35">
      <c r="B306" s="15"/>
    </row>
    <row r="307" spans="2:2" x14ac:dyDescent="0.35">
      <c r="B307" s="15"/>
    </row>
    <row r="308" spans="2:2" x14ac:dyDescent="0.35">
      <c r="B308" s="15"/>
    </row>
    <row r="309" spans="2:2" x14ac:dyDescent="0.35">
      <c r="B309" s="15"/>
    </row>
    <row r="310" spans="2:2" x14ac:dyDescent="0.35">
      <c r="B310" s="15"/>
    </row>
    <row r="311" spans="2:2" x14ac:dyDescent="0.35">
      <c r="B311" s="15"/>
    </row>
    <row r="312" spans="2:2" x14ac:dyDescent="0.35">
      <c r="B312" s="15"/>
    </row>
    <row r="313" spans="2:2" x14ac:dyDescent="0.35">
      <c r="B313" s="15"/>
    </row>
    <row r="314" spans="2:2" x14ac:dyDescent="0.35">
      <c r="B314" s="15"/>
    </row>
    <row r="315" spans="2:2" x14ac:dyDescent="0.35">
      <c r="B315" s="15"/>
    </row>
    <row r="316" spans="2:2" x14ac:dyDescent="0.35">
      <c r="B316" s="15"/>
    </row>
    <row r="317" spans="2:2" x14ac:dyDescent="0.35">
      <c r="B317" s="15"/>
    </row>
    <row r="318" spans="2:2" x14ac:dyDescent="0.35">
      <c r="B318" s="15"/>
    </row>
    <row r="319" spans="2:2" x14ac:dyDescent="0.35">
      <c r="B319" s="15"/>
    </row>
    <row r="320" spans="2:2" x14ac:dyDescent="0.35">
      <c r="B320" s="15"/>
    </row>
    <row r="321" spans="2:2" x14ac:dyDescent="0.35">
      <c r="B321" s="15"/>
    </row>
    <row r="322" spans="2:2" x14ac:dyDescent="0.35">
      <c r="B322" s="15"/>
    </row>
    <row r="323" spans="2:2" x14ac:dyDescent="0.35">
      <c r="B323" s="15"/>
    </row>
    <row r="324" spans="2:2" x14ac:dyDescent="0.35">
      <c r="B324" s="15"/>
    </row>
    <row r="325" spans="2:2" x14ac:dyDescent="0.35">
      <c r="B325" s="15"/>
    </row>
    <row r="326" spans="2:2" x14ac:dyDescent="0.35">
      <c r="B326" s="15"/>
    </row>
    <row r="327" spans="2:2" x14ac:dyDescent="0.35">
      <c r="B327" s="15"/>
    </row>
    <row r="328" spans="2:2" x14ac:dyDescent="0.35">
      <c r="B328" s="15"/>
    </row>
    <row r="329" spans="2:2" x14ac:dyDescent="0.35">
      <c r="B329" s="15"/>
    </row>
    <row r="330" spans="2:2" x14ac:dyDescent="0.35">
      <c r="B330" s="15"/>
    </row>
    <row r="331" spans="2:2" x14ac:dyDescent="0.35">
      <c r="B331" s="15"/>
    </row>
    <row r="332" spans="2:2" x14ac:dyDescent="0.35">
      <c r="B332" s="15"/>
    </row>
    <row r="333" spans="2:2" x14ac:dyDescent="0.35">
      <c r="B333" s="15"/>
    </row>
    <row r="334" spans="2:2" x14ac:dyDescent="0.35">
      <c r="B334" s="15"/>
    </row>
    <row r="335" spans="2:2" x14ac:dyDescent="0.35">
      <c r="B335" s="15"/>
    </row>
    <row r="336" spans="2:2" x14ac:dyDescent="0.35">
      <c r="B336" s="15"/>
    </row>
    <row r="337" spans="2:2" x14ac:dyDescent="0.35">
      <c r="B337" s="15"/>
    </row>
    <row r="338" spans="2:2" x14ac:dyDescent="0.35">
      <c r="B338" s="15"/>
    </row>
    <row r="339" spans="2:2" x14ac:dyDescent="0.35">
      <c r="B339" s="15"/>
    </row>
    <row r="340" spans="2:2" x14ac:dyDescent="0.35">
      <c r="B340" s="15"/>
    </row>
    <row r="341" spans="2:2" x14ac:dyDescent="0.35">
      <c r="B341" s="15"/>
    </row>
    <row r="342" spans="2:2" x14ac:dyDescent="0.35">
      <c r="B342" s="15"/>
    </row>
    <row r="343" spans="2:2" x14ac:dyDescent="0.35">
      <c r="B343" s="15"/>
    </row>
    <row r="344" spans="2:2" x14ac:dyDescent="0.35">
      <c r="B344" s="15"/>
    </row>
    <row r="345" spans="2:2" x14ac:dyDescent="0.35">
      <c r="B345" s="15"/>
    </row>
    <row r="346" spans="2:2" x14ac:dyDescent="0.35">
      <c r="B346" s="15"/>
    </row>
    <row r="347" spans="2:2" x14ac:dyDescent="0.35">
      <c r="B347" s="15"/>
    </row>
    <row r="348" spans="2:2" x14ac:dyDescent="0.35">
      <c r="B348" s="15"/>
    </row>
    <row r="349" spans="2:2" x14ac:dyDescent="0.35">
      <c r="B349" s="15"/>
    </row>
    <row r="350" spans="2:2" x14ac:dyDescent="0.35">
      <c r="B350" s="15"/>
    </row>
    <row r="351" spans="2:2" x14ac:dyDescent="0.35">
      <c r="B351" s="15"/>
    </row>
    <row r="352" spans="2:2" x14ac:dyDescent="0.35">
      <c r="B352" s="15"/>
    </row>
    <row r="353" spans="2:2" x14ac:dyDescent="0.35">
      <c r="B353" s="15"/>
    </row>
    <row r="354" spans="2:2" x14ac:dyDescent="0.35">
      <c r="B354" s="15"/>
    </row>
    <row r="355" spans="2:2" x14ac:dyDescent="0.35">
      <c r="B355" s="15"/>
    </row>
    <row r="356" spans="2:2" x14ac:dyDescent="0.35">
      <c r="B356" s="15"/>
    </row>
    <row r="357" spans="2:2" x14ac:dyDescent="0.35">
      <c r="B357" s="15"/>
    </row>
    <row r="358" spans="2:2" x14ac:dyDescent="0.35">
      <c r="B358" s="15"/>
    </row>
    <row r="359" spans="2:2" x14ac:dyDescent="0.35">
      <c r="B359" s="15"/>
    </row>
    <row r="360" spans="2:2" x14ac:dyDescent="0.35">
      <c r="B360" s="15"/>
    </row>
    <row r="361" spans="2:2" x14ac:dyDescent="0.35">
      <c r="B361" s="15"/>
    </row>
    <row r="362" spans="2:2" x14ac:dyDescent="0.35">
      <c r="B362" s="15"/>
    </row>
    <row r="363" spans="2:2" x14ac:dyDescent="0.35">
      <c r="B363" s="15"/>
    </row>
    <row r="364" spans="2:2" x14ac:dyDescent="0.35">
      <c r="B364" s="15"/>
    </row>
    <row r="365" spans="2:2" x14ac:dyDescent="0.35">
      <c r="B365" s="15"/>
    </row>
    <row r="366" spans="2:2" x14ac:dyDescent="0.35">
      <c r="B366" s="15"/>
    </row>
    <row r="367" spans="2:2" x14ac:dyDescent="0.35">
      <c r="B367" s="15"/>
    </row>
    <row r="368" spans="2:2" x14ac:dyDescent="0.35">
      <c r="B368" s="15"/>
    </row>
    <row r="369" spans="2:2" x14ac:dyDescent="0.35">
      <c r="B369" s="15"/>
    </row>
    <row r="370" spans="2:2" x14ac:dyDescent="0.35">
      <c r="B370" s="15"/>
    </row>
    <row r="371" spans="2:2" x14ac:dyDescent="0.35">
      <c r="B371" s="15"/>
    </row>
    <row r="372" spans="2:2" x14ac:dyDescent="0.35">
      <c r="B372" s="15"/>
    </row>
    <row r="373" spans="2:2" x14ac:dyDescent="0.35">
      <c r="B373" s="15"/>
    </row>
    <row r="374" spans="2:2" x14ac:dyDescent="0.35">
      <c r="B374" s="15"/>
    </row>
    <row r="375" spans="2:2" x14ac:dyDescent="0.35">
      <c r="B375" s="15"/>
    </row>
    <row r="376" spans="2:2" x14ac:dyDescent="0.35">
      <c r="B376" s="15"/>
    </row>
    <row r="377" spans="2:2" x14ac:dyDescent="0.35">
      <c r="B377" s="15"/>
    </row>
    <row r="378" spans="2:2" x14ac:dyDescent="0.35">
      <c r="B378" s="15"/>
    </row>
    <row r="379" spans="2:2" x14ac:dyDescent="0.35">
      <c r="B379" s="15"/>
    </row>
    <row r="380" spans="2:2" x14ac:dyDescent="0.35">
      <c r="B380" s="15"/>
    </row>
    <row r="381" spans="2:2" x14ac:dyDescent="0.35">
      <c r="B381" s="15"/>
    </row>
    <row r="382" spans="2:2" x14ac:dyDescent="0.35">
      <c r="B382" s="15"/>
    </row>
    <row r="383" spans="2:2" x14ac:dyDescent="0.35">
      <c r="B383" s="15"/>
    </row>
    <row r="384" spans="2:2" x14ac:dyDescent="0.35">
      <c r="B384" s="15"/>
    </row>
    <row r="385" spans="2:2" x14ac:dyDescent="0.35">
      <c r="B385" s="15"/>
    </row>
    <row r="386" spans="2:2" x14ac:dyDescent="0.35">
      <c r="B386" s="15"/>
    </row>
    <row r="387" spans="2:2" x14ac:dyDescent="0.35">
      <c r="B387" s="15"/>
    </row>
    <row r="388" spans="2:2" x14ac:dyDescent="0.35">
      <c r="B388" s="15"/>
    </row>
    <row r="389" spans="2:2" x14ac:dyDescent="0.35">
      <c r="B389" s="15"/>
    </row>
    <row r="390" spans="2:2" x14ac:dyDescent="0.35">
      <c r="B390" s="15"/>
    </row>
    <row r="391" spans="2:2" x14ac:dyDescent="0.35">
      <c r="B391" s="15"/>
    </row>
    <row r="392" spans="2:2" x14ac:dyDescent="0.35">
      <c r="B392" s="15"/>
    </row>
    <row r="393" spans="2:2" x14ac:dyDescent="0.35">
      <c r="B393" s="15"/>
    </row>
    <row r="394" spans="2:2" x14ac:dyDescent="0.35">
      <c r="B394" s="15"/>
    </row>
    <row r="395" spans="2:2" x14ac:dyDescent="0.35">
      <c r="B395" s="15"/>
    </row>
    <row r="396" spans="2:2" x14ac:dyDescent="0.35">
      <c r="B396" s="15"/>
    </row>
    <row r="397" spans="2:2" x14ac:dyDescent="0.35">
      <c r="B397" s="15"/>
    </row>
    <row r="398" spans="2:2" x14ac:dyDescent="0.35">
      <c r="B398" s="15"/>
    </row>
    <row r="399" spans="2:2" x14ac:dyDescent="0.35">
      <c r="B399" s="15"/>
    </row>
    <row r="400" spans="2:2" x14ac:dyDescent="0.35">
      <c r="B400" s="15"/>
    </row>
    <row r="401" spans="2:2" x14ac:dyDescent="0.35">
      <c r="B401" s="15"/>
    </row>
    <row r="402" spans="2:2" x14ac:dyDescent="0.35">
      <c r="B402" s="15"/>
    </row>
    <row r="403" spans="2:2" x14ac:dyDescent="0.35">
      <c r="B403" s="15"/>
    </row>
    <row r="404" spans="2:2" x14ac:dyDescent="0.35">
      <c r="B404" s="15"/>
    </row>
    <row r="405" spans="2:2" x14ac:dyDescent="0.35">
      <c r="B405" s="15"/>
    </row>
    <row r="406" spans="2:2" x14ac:dyDescent="0.35">
      <c r="B406" s="15"/>
    </row>
    <row r="407" spans="2:2" x14ac:dyDescent="0.35">
      <c r="B407" s="15"/>
    </row>
    <row r="408" spans="2:2" x14ac:dyDescent="0.35">
      <c r="B408" s="15"/>
    </row>
    <row r="409" spans="2:2" x14ac:dyDescent="0.35">
      <c r="B409" s="15"/>
    </row>
    <row r="410" spans="2:2" x14ac:dyDescent="0.35">
      <c r="B410" s="15"/>
    </row>
    <row r="411" spans="2:2" x14ac:dyDescent="0.35">
      <c r="B411" s="15"/>
    </row>
    <row r="412" spans="2:2" x14ac:dyDescent="0.35">
      <c r="B412" s="15"/>
    </row>
    <row r="413" spans="2:2" x14ac:dyDescent="0.35">
      <c r="B413" s="15"/>
    </row>
    <row r="414" spans="2:2" x14ac:dyDescent="0.35">
      <c r="B414" s="15"/>
    </row>
    <row r="415" spans="2:2" x14ac:dyDescent="0.35">
      <c r="B415" s="15"/>
    </row>
    <row r="416" spans="2:2" x14ac:dyDescent="0.35">
      <c r="B416" s="15"/>
    </row>
    <row r="417" spans="2:2" x14ac:dyDescent="0.35">
      <c r="B417" s="15"/>
    </row>
    <row r="418" spans="2:2" x14ac:dyDescent="0.35">
      <c r="B418" s="15"/>
    </row>
    <row r="419" spans="2:2" x14ac:dyDescent="0.35">
      <c r="B419" s="15"/>
    </row>
    <row r="420" spans="2:2" x14ac:dyDescent="0.35">
      <c r="B420" s="15"/>
    </row>
    <row r="421" spans="2:2" x14ac:dyDescent="0.35">
      <c r="B421" s="15"/>
    </row>
    <row r="422" spans="2:2" x14ac:dyDescent="0.35">
      <c r="B422" s="15"/>
    </row>
    <row r="423" spans="2:2" x14ac:dyDescent="0.35">
      <c r="B423" s="15"/>
    </row>
    <row r="424" spans="2:2" x14ac:dyDescent="0.35">
      <c r="B424" s="15"/>
    </row>
    <row r="425" spans="2:2" x14ac:dyDescent="0.35">
      <c r="B425" s="15"/>
    </row>
    <row r="426" spans="2:2" x14ac:dyDescent="0.35">
      <c r="B426" s="15"/>
    </row>
    <row r="427" spans="2:2" x14ac:dyDescent="0.35">
      <c r="B427" s="15"/>
    </row>
    <row r="428" spans="2:2" x14ac:dyDescent="0.35">
      <c r="B428" s="15"/>
    </row>
    <row r="429" spans="2:2" x14ac:dyDescent="0.35">
      <c r="B429" s="15"/>
    </row>
    <row r="430" spans="2:2" x14ac:dyDescent="0.35">
      <c r="B430" s="15"/>
    </row>
    <row r="431" spans="2:2" x14ac:dyDescent="0.35">
      <c r="B431" s="15"/>
    </row>
    <row r="432" spans="2:2" x14ac:dyDescent="0.35">
      <c r="B432" s="15"/>
    </row>
    <row r="433" spans="2:2" x14ac:dyDescent="0.35">
      <c r="B433" s="15"/>
    </row>
    <row r="434" spans="2:2" x14ac:dyDescent="0.35">
      <c r="B434" s="15"/>
    </row>
    <row r="435" spans="2:2" x14ac:dyDescent="0.35">
      <c r="B435" s="15"/>
    </row>
    <row r="436" spans="2:2" x14ac:dyDescent="0.35">
      <c r="B436" s="15"/>
    </row>
    <row r="437" spans="2:2" x14ac:dyDescent="0.35">
      <c r="B437" s="15"/>
    </row>
    <row r="438" spans="2:2" x14ac:dyDescent="0.35">
      <c r="B438" s="15"/>
    </row>
    <row r="439" spans="2:2" x14ac:dyDescent="0.35">
      <c r="B439" s="15"/>
    </row>
    <row r="440" spans="2:2" x14ac:dyDescent="0.35">
      <c r="B440" s="15"/>
    </row>
    <row r="441" spans="2:2" x14ac:dyDescent="0.35">
      <c r="B441" s="15"/>
    </row>
    <row r="442" spans="2:2" x14ac:dyDescent="0.35">
      <c r="B442" s="15"/>
    </row>
    <row r="443" spans="2:2" x14ac:dyDescent="0.35">
      <c r="B443" s="15"/>
    </row>
    <row r="444" spans="2:2" x14ac:dyDescent="0.35">
      <c r="B444" s="15"/>
    </row>
    <row r="445" spans="2:2" x14ac:dyDescent="0.35">
      <c r="B445" s="15"/>
    </row>
    <row r="446" spans="2:2" x14ac:dyDescent="0.35">
      <c r="B446" s="15"/>
    </row>
    <row r="447" spans="2:2" x14ac:dyDescent="0.35">
      <c r="B447" s="15"/>
    </row>
    <row r="448" spans="2:2" x14ac:dyDescent="0.35">
      <c r="B448" s="15"/>
    </row>
    <row r="449" spans="2:2" x14ac:dyDescent="0.35">
      <c r="B449" s="15"/>
    </row>
    <row r="450" spans="2:2" x14ac:dyDescent="0.35">
      <c r="B450" s="15"/>
    </row>
    <row r="451" spans="2:2" x14ac:dyDescent="0.35">
      <c r="B451" s="15"/>
    </row>
    <row r="452" spans="2:2" x14ac:dyDescent="0.35">
      <c r="B452" s="15"/>
    </row>
    <row r="453" spans="2:2" x14ac:dyDescent="0.35">
      <c r="B453" s="15"/>
    </row>
    <row r="454" spans="2:2" x14ac:dyDescent="0.35">
      <c r="B454" s="15"/>
    </row>
    <row r="455" spans="2:2" x14ac:dyDescent="0.35">
      <c r="B455" s="15"/>
    </row>
    <row r="456" spans="2:2" x14ac:dyDescent="0.35">
      <c r="B456" s="15"/>
    </row>
    <row r="457" spans="2:2" x14ac:dyDescent="0.35">
      <c r="B457" s="15"/>
    </row>
    <row r="458" spans="2:2" x14ac:dyDescent="0.35">
      <c r="B458" s="15"/>
    </row>
    <row r="459" spans="2:2" x14ac:dyDescent="0.35">
      <c r="B459" s="15"/>
    </row>
    <row r="460" spans="2:2" x14ac:dyDescent="0.35">
      <c r="B460" s="15"/>
    </row>
    <row r="461" spans="2:2" x14ac:dyDescent="0.35">
      <c r="B461" s="15"/>
    </row>
    <row r="462" spans="2:2" x14ac:dyDescent="0.35">
      <c r="B462" s="15"/>
    </row>
    <row r="463" spans="2:2" x14ac:dyDescent="0.35">
      <c r="B463" s="15"/>
    </row>
    <row r="464" spans="2:2" x14ac:dyDescent="0.35">
      <c r="B464" s="15"/>
    </row>
    <row r="465" spans="2:2" x14ac:dyDescent="0.35">
      <c r="B465" s="15"/>
    </row>
    <row r="466" spans="2:2" x14ac:dyDescent="0.35">
      <c r="B466" s="15"/>
    </row>
    <row r="467" spans="2:2" x14ac:dyDescent="0.35">
      <c r="B467" s="15"/>
    </row>
    <row r="468" spans="2:2" x14ac:dyDescent="0.35">
      <c r="B468" s="15"/>
    </row>
    <row r="469" spans="2:2" x14ac:dyDescent="0.35">
      <c r="B469" s="15"/>
    </row>
    <row r="470" spans="2:2" x14ac:dyDescent="0.35">
      <c r="B470" s="15"/>
    </row>
    <row r="471" spans="2:2" x14ac:dyDescent="0.35">
      <c r="B471" s="15"/>
    </row>
    <row r="472" spans="2:2" x14ac:dyDescent="0.35">
      <c r="B472" s="15"/>
    </row>
    <row r="473" spans="2:2" x14ac:dyDescent="0.35">
      <c r="B473" s="15"/>
    </row>
    <row r="474" spans="2:2" x14ac:dyDescent="0.35">
      <c r="B474" s="15"/>
    </row>
    <row r="475" spans="2:2" x14ac:dyDescent="0.35">
      <c r="B475" s="15"/>
    </row>
    <row r="476" spans="2:2" x14ac:dyDescent="0.35">
      <c r="B476" s="15"/>
    </row>
    <row r="477" spans="2:2" x14ac:dyDescent="0.35">
      <c r="B477" s="15"/>
    </row>
    <row r="478" spans="2:2" x14ac:dyDescent="0.35">
      <c r="B478" s="15"/>
    </row>
    <row r="479" spans="2:2" x14ac:dyDescent="0.35">
      <c r="B479" s="15"/>
    </row>
    <row r="480" spans="2:2" x14ac:dyDescent="0.35">
      <c r="B480" s="15"/>
    </row>
    <row r="481" spans="2:2" x14ac:dyDescent="0.35">
      <c r="B481" s="15"/>
    </row>
    <row r="482" spans="2:2" x14ac:dyDescent="0.35">
      <c r="B482" s="15"/>
    </row>
    <row r="483" spans="2:2" x14ac:dyDescent="0.35">
      <c r="B483" s="15"/>
    </row>
    <row r="484" spans="2:2" x14ac:dyDescent="0.35">
      <c r="B484" s="15"/>
    </row>
    <row r="485" spans="2:2" x14ac:dyDescent="0.35">
      <c r="B485" s="15"/>
    </row>
    <row r="486" spans="2:2" x14ac:dyDescent="0.35">
      <c r="B486" s="15"/>
    </row>
    <row r="487" spans="2:2" x14ac:dyDescent="0.35">
      <c r="B487" s="15"/>
    </row>
    <row r="488" spans="2:2" x14ac:dyDescent="0.35">
      <c r="B488" s="15"/>
    </row>
    <row r="489" spans="2:2" x14ac:dyDescent="0.35">
      <c r="B489" s="15"/>
    </row>
    <row r="490" spans="2:2" x14ac:dyDescent="0.35">
      <c r="B490" s="15"/>
    </row>
    <row r="491" spans="2:2" x14ac:dyDescent="0.35">
      <c r="B491" s="15"/>
    </row>
    <row r="492" spans="2:2" x14ac:dyDescent="0.35">
      <c r="B492" s="15"/>
    </row>
    <row r="493" spans="2:2" x14ac:dyDescent="0.35">
      <c r="B493" s="15"/>
    </row>
    <row r="494" spans="2:2" x14ac:dyDescent="0.35">
      <c r="B494" s="15"/>
    </row>
    <row r="495" spans="2:2" x14ac:dyDescent="0.35">
      <c r="B495" s="15"/>
    </row>
    <row r="496" spans="2:2" x14ac:dyDescent="0.35">
      <c r="B496" s="15"/>
    </row>
    <row r="497" spans="2:2" x14ac:dyDescent="0.35">
      <c r="B497" s="15"/>
    </row>
    <row r="498" spans="2:2" x14ac:dyDescent="0.35">
      <c r="B498" s="15"/>
    </row>
    <row r="499" spans="2:2" x14ac:dyDescent="0.35">
      <c r="B499" s="15"/>
    </row>
    <row r="500" spans="2:2" x14ac:dyDescent="0.35">
      <c r="B500" s="15"/>
    </row>
    <row r="501" spans="2:2" x14ac:dyDescent="0.35">
      <c r="B501" s="15"/>
    </row>
    <row r="502" spans="2:2" x14ac:dyDescent="0.35">
      <c r="B502" s="17"/>
    </row>
    <row r="503" spans="2:2" x14ac:dyDescent="0.35">
      <c r="B503" s="17"/>
    </row>
    <row r="504" spans="2:2" x14ac:dyDescent="0.35">
      <c r="B504" s="17"/>
    </row>
    <row r="505" spans="2:2" x14ac:dyDescent="0.35">
      <c r="B505" s="17"/>
    </row>
    <row r="506" spans="2:2" x14ac:dyDescent="0.35">
      <c r="B506" s="17"/>
    </row>
    <row r="507" spans="2:2" x14ac:dyDescent="0.35">
      <c r="B507" s="17"/>
    </row>
    <row r="508" spans="2:2" x14ac:dyDescent="0.35">
      <c r="B508" s="17"/>
    </row>
    <row r="509" spans="2:2" x14ac:dyDescent="0.35">
      <c r="B509" s="17"/>
    </row>
    <row r="510" spans="2:2" x14ac:dyDescent="0.35">
      <c r="B510" s="17"/>
    </row>
    <row r="511" spans="2:2" x14ac:dyDescent="0.35">
      <c r="B511" s="17"/>
    </row>
    <row r="512" spans="2:2" x14ac:dyDescent="0.35">
      <c r="B512" s="17"/>
    </row>
    <row r="513" spans="2:2" x14ac:dyDescent="0.35">
      <c r="B513" s="17"/>
    </row>
    <row r="514" spans="2:2" x14ac:dyDescent="0.35">
      <c r="B514" s="17"/>
    </row>
    <row r="515" spans="2:2" x14ac:dyDescent="0.35">
      <c r="B515" s="17"/>
    </row>
    <row r="516" spans="2:2" x14ac:dyDescent="0.35">
      <c r="B516" s="17"/>
    </row>
    <row r="517" spans="2:2" x14ac:dyDescent="0.35">
      <c r="B517" s="17"/>
    </row>
    <row r="518" spans="2:2" x14ac:dyDescent="0.35">
      <c r="B518" s="17"/>
    </row>
    <row r="519" spans="2:2" x14ac:dyDescent="0.35">
      <c r="B519" s="17"/>
    </row>
    <row r="520" spans="2:2" x14ac:dyDescent="0.35">
      <c r="B520" s="17"/>
    </row>
    <row r="521" spans="2:2" x14ac:dyDescent="0.35">
      <c r="B521" s="17"/>
    </row>
    <row r="522" spans="2:2" x14ac:dyDescent="0.35">
      <c r="B522" s="17"/>
    </row>
    <row r="523" spans="2:2" x14ac:dyDescent="0.35">
      <c r="B523" s="17"/>
    </row>
    <row r="524" spans="2:2" x14ac:dyDescent="0.35">
      <c r="B524" s="17"/>
    </row>
    <row r="525" spans="2:2" x14ac:dyDescent="0.35">
      <c r="B525" s="17"/>
    </row>
    <row r="526" spans="2:2" x14ac:dyDescent="0.35">
      <c r="B526" s="17"/>
    </row>
    <row r="527" spans="2:2" x14ac:dyDescent="0.35">
      <c r="B527" s="17"/>
    </row>
    <row r="528" spans="2:2" x14ac:dyDescent="0.35">
      <c r="B528" s="17"/>
    </row>
    <row r="529" spans="2:2" x14ac:dyDescent="0.35">
      <c r="B529" s="17"/>
    </row>
    <row r="530" spans="2:2" x14ac:dyDescent="0.35">
      <c r="B530" s="17"/>
    </row>
    <row r="531" spans="2:2" x14ac:dyDescent="0.35">
      <c r="B531" s="17"/>
    </row>
    <row r="532" spans="2:2" x14ac:dyDescent="0.35">
      <c r="B532" s="17"/>
    </row>
    <row r="533" spans="2:2" x14ac:dyDescent="0.35">
      <c r="B533" s="17"/>
    </row>
    <row r="534" spans="2:2" x14ac:dyDescent="0.35">
      <c r="B534" s="17"/>
    </row>
    <row r="535" spans="2:2" x14ac:dyDescent="0.35">
      <c r="B535" s="17"/>
    </row>
    <row r="536" spans="2:2" x14ac:dyDescent="0.35">
      <c r="B536" s="17"/>
    </row>
    <row r="537" spans="2:2" x14ac:dyDescent="0.35">
      <c r="B537" s="17"/>
    </row>
    <row r="538" spans="2:2" x14ac:dyDescent="0.35">
      <c r="B538" s="17"/>
    </row>
    <row r="539" spans="2:2" x14ac:dyDescent="0.35">
      <c r="B539" s="17"/>
    </row>
    <row r="540" spans="2:2" x14ac:dyDescent="0.35">
      <c r="B540" s="17"/>
    </row>
    <row r="541" spans="2:2" x14ac:dyDescent="0.35">
      <c r="B541" s="17"/>
    </row>
    <row r="542" spans="2:2" x14ac:dyDescent="0.35">
      <c r="B542" s="17"/>
    </row>
    <row r="543" spans="2:2" x14ac:dyDescent="0.35">
      <c r="B543" s="17"/>
    </row>
    <row r="544" spans="2:2" x14ac:dyDescent="0.35">
      <c r="B544" s="17"/>
    </row>
    <row r="545" spans="2:2" x14ac:dyDescent="0.35">
      <c r="B545" s="17"/>
    </row>
    <row r="546" spans="2:2" x14ac:dyDescent="0.35">
      <c r="B546" s="17"/>
    </row>
    <row r="547" spans="2:2" x14ac:dyDescent="0.35">
      <c r="B547" s="17"/>
    </row>
    <row r="548" spans="2:2" x14ac:dyDescent="0.35">
      <c r="B548" s="17"/>
    </row>
    <row r="549" spans="2:2" x14ac:dyDescent="0.35">
      <c r="B549" s="17"/>
    </row>
    <row r="550" spans="2:2" x14ac:dyDescent="0.35">
      <c r="B550" s="17"/>
    </row>
    <row r="551" spans="2:2" x14ac:dyDescent="0.35">
      <c r="B551" s="17"/>
    </row>
    <row r="552" spans="2:2" x14ac:dyDescent="0.35">
      <c r="B552" s="17"/>
    </row>
    <row r="553" spans="2:2" x14ac:dyDescent="0.35">
      <c r="B553" s="17"/>
    </row>
    <row r="554" spans="2:2" x14ac:dyDescent="0.35">
      <c r="B554" s="17"/>
    </row>
    <row r="555" spans="2:2" x14ac:dyDescent="0.35">
      <c r="B555" s="17"/>
    </row>
    <row r="556" spans="2:2" x14ac:dyDescent="0.35">
      <c r="B556" s="17"/>
    </row>
    <row r="557" spans="2:2" x14ac:dyDescent="0.35">
      <c r="B557" s="17"/>
    </row>
    <row r="558" spans="2:2" x14ac:dyDescent="0.35">
      <c r="B558" s="17"/>
    </row>
    <row r="559" spans="2:2" x14ac:dyDescent="0.35">
      <c r="B559" s="17"/>
    </row>
    <row r="560" spans="2:2" x14ac:dyDescent="0.35">
      <c r="B560" s="17"/>
    </row>
    <row r="561" spans="2:2" x14ac:dyDescent="0.35">
      <c r="B561" s="17"/>
    </row>
    <row r="562" spans="2:2" x14ac:dyDescent="0.35">
      <c r="B562" s="17"/>
    </row>
    <row r="563" spans="2:2" x14ac:dyDescent="0.35">
      <c r="B563" s="17"/>
    </row>
    <row r="564" spans="2:2" x14ac:dyDescent="0.35">
      <c r="B564" s="17"/>
    </row>
    <row r="565" spans="2:2" x14ac:dyDescent="0.35">
      <c r="B565" s="17"/>
    </row>
    <row r="566" spans="2:2" x14ac:dyDescent="0.35">
      <c r="B566" s="17"/>
    </row>
    <row r="567" spans="2:2" x14ac:dyDescent="0.35">
      <c r="B567" s="17"/>
    </row>
    <row r="568" spans="2:2" x14ac:dyDescent="0.35">
      <c r="B568" s="17"/>
    </row>
    <row r="569" spans="2:2" x14ac:dyDescent="0.35">
      <c r="B569" s="17"/>
    </row>
    <row r="570" spans="2:2" x14ac:dyDescent="0.35">
      <c r="B570" s="17"/>
    </row>
    <row r="571" spans="2:2" x14ac:dyDescent="0.35">
      <c r="B571" s="17"/>
    </row>
    <row r="572" spans="2:2" x14ac:dyDescent="0.35">
      <c r="B572" s="17"/>
    </row>
    <row r="573" spans="2:2" x14ac:dyDescent="0.35">
      <c r="B573" s="17"/>
    </row>
    <row r="574" spans="2:2" x14ac:dyDescent="0.35">
      <c r="B574" s="17"/>
    </row>
    <row r="575" spans="2:2" x14ac:dyDescent="0.35">
      <c r="B575" s="17"/>
    </row>
    <row r="576" spans="2:2" x14ac:dyDescent="0.35">
      <c r="B576" s="17"/>
    </row>
    <row r="577" spans="2:2" x14ac:dyDescent="0.35">
      <c r="B577" s="17"/>
    </row>
    <row r="578" spans="2:2" x14ac:dyDescent="0.35">
      <c r="B578" s="17"/>
    </row>
    <row r="579" spans="2:2" x14ac:dyDescent="0.35">
      <c r="B579" s="17"/>
    </row>
    <row r="580" spans="2:2" x14ac:dyDescent="0.35">
      <c r="B580" s="17"/>
    </row>
    <row r="581" spans="2:2" x14ac:dyDescent="0.35">
      <c r="B581" s="17"/>
    </row>
    <row r="582" spans="2:2" x14ac:dyDescent="0.35">
      <c r="B582" s="17"/>
    </row>
    <row r="583" spans="2:2" x14ac:dyDescent="0.35">
      <c r="B583" s="17"/>
    </row>
    <row r="584" spans="2:2" x14ac:dyDescent="0.35">
      <c r="B584" s="17"/>
    </row>
    <row r="585" spans="2:2" x14ac:dyDescent="0.35">
      <c r="B585" s="17"/>
    </row>
    <row r="586" spans="2:2" x14ac:dyDescent="0.35">
      <c r="B586" s="17"/>
    </row>
    <row r="587" spans="2:2" x14ac:dyDescent="0.35">
      <c r="B587" s="17"/>
    </row>
    <row r="588" spans="2:2" x14ac:dyDescent="0.35">
      <c r="B588" s="17"/>
    </row>
    <row r="589" spans="2:2" x14ac:dyDescent="0.35">
      <c r="B589" s="17"/>
    </row>
    <row r="590" spans="2:2" x14ac:dyDescent="0.35">
      <c r="B590" s="17"/>
    </row>
    <row r="591" spans="2:2" x14ac:dyDescent="0.35">
      <c r="B591" s="17"/>
    </row>
    <row r="592" spans="2:2" x14ac:dyDescent="0.35">
      <c r="B592" s="17"/>
    </row>
    <row r="593" spans="2:2" x14ac:dyDescent="0.35">
      <c r="B593" s="17"/>
    </row>
    <row r="594" spans="2:2" x14ac:dyDescent="0.35">
      <c r="B594" s="17"/>
    </row>
    <row r="595" spans="2:2" x14ac:dyDescent="0.35">
      <c r="B595" s="17"/>
    </row>
    <row r="596" spans="2:2" x14ac:dyDescent="0.35">
      <c r="B596" s="17"/>
    </row>
    <row r="597" spans="2:2" x14ac:dyDescent="0.35">
      <c r="B597" s="17"/>
    </row>
    <row r="598" spans="2:2" x14ac:dyDescent="0.35">
      <c r="B598" s="17"/>
    </row>
    <row r="599" spans="2:2" x14ac:dyDescent="0.35">
      <c r="B599" s="17"/>
    </row>
    <row r="600" spans="2:2" x14ac:dyDescent="0.35">
      <c r="B600" s="17"/>
    </row>
    <row r="601" spans="2:2" x14ac:dyDescent="0.35">
      <c r="B601" s="17"/>
    </row>
    <row r="602" spans="2:2" x14ac:dyDescent="0.35">
      <c r="B602" s="17"/>
    </row>
    <row r="603" spans="2:2" x14ac:dyDescent="0.35">
      <c r="B603" s="17"/>
    </row>
    <row r="604" spans="2:2" x14ac:dyDescent="0.35">
      <c r="B604" s="17"/>
    </row>
    <row r="605" spans="2:2" x14ac:dyDescent="0.35">
      <c r="B605" s="17"/>
    </row>
    <row r="606" spans="2:2" x14ac:dyDescent="0.35">
      <c r="B606" s="17"/>
    </row>
    <row r="607" spans="2:2" x14ac:dyDescent="0.35">
      <c r="B607" s="17"/>
    </row>
    <row r="608" spans="2:2" x14ac:dyDescent="0.35">
      <c r="B608" s="17"/>
    </row>
    <row r="609" spans="2:2" x14ac:dyDescent="0.35">
      <c r="B609" s="17"/>
    </row>
    <row r="610" spans="2:2" x14ac:dyDescent="0.35">
      <c r="B610" s="17"/>
    </row>
    <row r="611" spans="2:2" x14ac:dyDescent="0.35">
      <c r="B611" s="17"/>
    </row>
    <row r="612" spans="2:2" x14ac:dyDescent="0.35">
      <c r="B612" s="17"/>
    </row>
    <row r="613" spans="2:2" x14ac:dyDescent="0.35">
      <c r="B613" s="17"/>
    </row>
    <row r="614" spans="2:2" x14ac:dyDescent="0.35">
      <c r="B614" s="17"/>
    </row>
    <row r="615" spans="2:2" x14ac:dyDescent="0.35">
      <c r="B615" s="17"/>
    </row>
    <row r="616" spans="2:2" x14ac:dyDescent="0.35">
      <c r="B616" s="17"/>
    </row>
    <row r="617" spans="2:2" x14ac:dyDescent="0.35">
      <c r="B617" s="17"/>
    </row>
    <row r="618" spans="2:2" x14ac:dyDescent="0.35">
      <c r="B618" s="17"/>
    </row>
    <row r="619" spans="2:2" x14ac:dyDescent="0.35">
      <c r="B619" s="17"/>
    </row>
    <row r="620" spans="2:2" x14ac:dyDescent="0.35">
      <c r="B620" s="17"/>
    </row>
    <row r="621" spans="2:2" x14ac:dyDescent="0.35">
      <c r="B621" s="17"/>
    </row>
    <row r="622" spans="2:2" x14ac:dyDescent="0.35">
      <c r="B622" s="17"/>
    </row>
    <row r="623" spans="2:2" x14ac:dyDescent="0.35">
      <c r="B623" s="17"/>
    </row>
    <row r="624" spans="2:2" x14ac:dyDescent="0.35">
      <c r="B624" s="17"/>
    </row>
    <row r="625" spans="2:2" x14ac:dyDescent="0.35">
      <c r="B625" s="17"/>
    </row>
    <row r="626" spans="2:2" x14ac:dyDescent="0.35">
      <c r="B626" s="17"/>
    </row>
    <row r="627" spans="2:2" x14ac:dyDescent="0.35">
      <c r="B627" s="17"/>
    </row>
    <row r="628" spans="2:2" x14ac:dyDescent="0.35">
      <c r="B628" s="17"/>
    </row>
    <row r="629" spans="2:2" x14ac:dyDescent="0.35">
      <c r="B629" s="17"/>
    </row>
    <row r="630" spans="2:2" x14ac:dyDescent="0.35">
      <c r="B630" s="17"/>
    </row>
    <row r="631" spans="2:2" x14ac:dyDescent="0.35">
      <c r="B631" s="17"/>
    </row>
    <row r="632" spans="2:2" x14ac:dyDescent="0.35">
      <c r="B632" s="17"/>
    </row>
    <row r="633" spans="2:2" x14ac:dyDescent="0.35">
      <c r="B633" s="17"/>
    </row>
    <row r="634" spans="2:2" x14ac:dyDescent="0.35">
      <c r="B634" s="17"/>
    </row>
    <row r="635" spans="2:2" x14ac:dyDescent="0.35">
      <c r="B635" s="17"/>
    </row>
    <row r="636" spans="2:2" x14ac:dyDescent="0.35">
      <c r="B636" s="17"/>
    </row>
    <row r="637" spans="2:2" x14ac:dyDescent="0.35">
      <c r="B637" s="17"/>
    </row>
    <row r="638" spans="2:2" x14ac:dyDescent="0.35">
      <c r="B638" s="17"/>
    </row>
    <row r="639" spans="2:2" x14ac:dyDescent="0.35">
      <c r="B639" s="17"/>
    </row>
    <row r="640" spans="2:2" x14ac:dyDescent="0.35">
      <c r="B640" s="17"/>
    </row>
    <row r="641" spans="2:2" x14ac:dyDescent="0.35">
      <c r="B641" s="17"/>
    </row>
    <row r="642" spans="2:2" x14ac:dyDescent="0.35">
      <c r="B642" s="17"/>
    </row>
    <row r="643" spans="2:2" x14ac:dyDescent="0.35">
      <c r="B643" s="17"/>
    </row>
    <row r="644" spans="2:2" x14ac:dyDescent="0.35">
      <c r="B644" s="17"/>
    </row>
    <row r="645" spans="2:2" x14ac:dyDescent="0.35">
      <c r="B645" s="17"/>
    </row>
    <row r="646" spans="2:2" x14ac:dyDescent="0.35">
      <c r="B646" s="17"/>
    </row>
    <row r="647" spans="2:2" x14ac:dyDescent="0.35">
      <c r="B647" s="17"/>
    </row>
    <row r="648" spans="2:2" x14ac:dyDescent="0.35">
      <c r="B648" s="17"/>
    </row>
    <row r="649" spans="2:2" x14ac:dyDescent="0.35">
      <c r="B649" s="17"/>
    </row>
    <row r="650" spans="2:2" x14ac:dyDescent="0.35">
      <c r="B650" s="17"/>
    </row>
    <row r="651" spans="2:2" x14ac:dyDescent="0.35">
      <c r="B651" s="17"/>
    </row>
    <row r="652" spans="2:2" x14ac:dyDescent="0.35">
      <c r="B652" s="17"/>
    </row>
    <row r="653" spans="2:2" x14ac:dyDescent="0.35">
      <c r="B653" s="18"/>
    </row>
    <row r="654" spans="2:2" x14ac:dyDescent="0.35">
      <c r="B654" s="18"/>
    </row>
    <row r="655" spans="2:2" x14ac:dyDescent="0.35">
      <c r="B655" s="18"/>
    </row>
    <row r="656" spans="2:2" x14ac:dyDescent="0.35">
      <c r="B656" s="18"/>
    </row>
    <row r="657" spans="2:2" x14ac:dyDescent="0.35">
      <c r="B657" s="18"/>
    </row>
    <row r="658" spans="2:2" x14ac:dyDescent="0.35">
      <c r="B658" s="18"/>
    </row>
    <row r="659" spans="2:2" x14ac:dyDescent="0.35">
      <c r="B659" s="18"/>
    </row>
    <row r="660" spans="2:2" x14ac:dyDescent="0.35">
      <c r="B660" s="18"/>
    </row>
    <row r="661" spans="2:2" x14ac:dyDescent="0.35">
      <c r="B661" s="18"/>
    </row>
    <row r="662" spans="2:2" x14ac:dyDescent="0.35">
      <c r="B662" s="18"/>
    </row>
    <row r="663" spans="2:2" x14ac:dyDescent="0.35">
      <c r="B663" s="18"/>
    </row>
    <row r="664" spans="2:2" x14ac:dyDescent="0.35">
      <c r="B664" s="18"/>
    </row>
    <row r="665" spans="2:2" x14ac:dyDescent="0.35">
      <c r="B665" s="18"/>
    </row>
    <row r="666" spans="2:2" x14ac:dyDescent="0.35">
      <c r="B666" s="18"/>
    </row>
    <row r="667" spans="2:2" x14ac:dyDescent="0.35">
      <c r="B667" s="18"/>
    </row>
    <row r="668" spans="2:2" x14ac:dyDescent="0.35">
      <c r="B668" s="18"/>
    </row>
    <row r="669" spans="2:2" x14ac:dyDescent="0.35">
      <c r="B669" s="18"/>
    </row>
    <row r="670" spans="2:2" x14ac:dyDescent="0.35">
      <c r="B670" s="18"/>
    </row>
    <row r="671" spans="2:2" x14ac:dyDescent="0.35">
      <c r="B671" s="18"/>
    </row>
    <row r="672" spans="2:2" x14ac:dyDescent="0.35">
      <c r="B672" s="18"/>
    </row>
    <row r="673" spans="2:2" x14ac:dyDescent="0.35">
      <c r="B673" s="18"/>
    </row>
    <row r="674" spans="2:2" x14ac:dyDescent="0.35">
      <c r="B674" s="18"/>
    </row>
    <row r="675" spans="2:2" x14ac:dyDescent="0.35">
      <c r="B675" s="18"/>
    </row>
    <row r="676" spans="2:2" x14ac:dyDescent="0.35">
      <c r="B676" s="18"/>
    </row>
    <row r="677" spans="2:2" x14ac:dyDescent="0.35">
      <c r="B677" s="18"/>
    </row>
    <row r="678" spans="2:2" x14ac:dyDescent="0.35">
      <c r="B678" s="18"/>
    </row>
    <row r="679" spans="2:2" x14ac:dyDescent="0.35">
      <c r="B679" s="18"/>
    </row>
    <row r="680" spans="2:2" x14ac:dyDescent="0.35">
      <c r="B680" s="18"/>
    </row>
    <row r="681" spans="2:2" x14ac:dyDescent="0.35">
      <c r="B681" s="18"/>
    </row>
    <row r="682" spans="2:2" x14ac:dyDescent="0.35">
      <c r="B682" s="18"/>
    </row>
    <row r="683" spans="2:2" x14ac:dyDescent="0.35">
      <c r="B683" s="18"/>
    </row>
    <row r="684" spans="2:2" x14ac:dyDescent="0.35">
      <c r="B684" s="18"/>
    </row>
    <row r="685" spans="2:2" x14ac:dyDescent="0.35">
      <c r="B685" s="18"/>
    </row>
    <row r="686" spans="2:2" x14ac:dyDescent="0.35">
      <c r="B686" s="18"/>
    </row>
    <row r="687" spans="2:2" x14ac:dyDescent="0.35">
      <c r="B687" s="18"/>
    </row>
    <row r="688" spans="2:2" x14ac:dyDescent="0.35">
      <c r="B688" s="18"/>
    </row>
    <row r="689" spans="2:2" x14ac:dyDescent="0.35">
      <c r="B689" s="18"/>
    </row>
    <row r="690" spans="2:2" x14ac:dyDescent="0.35">
      <c r="B690" s="18"/>
    </row>
    <row r="691" spans="2:2" x14ac:dyDescent="0.35">
      <c r="B691" s="18"/>
    </row>
    <row r="692" spans="2:2" x14ac:dyDescent="0.35">
      <c r="B692" s="18"/>
    </row>
    <row r="693" spans="2:2" x14ac:dyDescent="0.35">
      <c r="B693" s="18"/>
    </row>
    <row r="694" spans="2:2" x14ac:dyDescent="0.35">
      <c r="B694" s="18"/>
    </row>
    <row r="695" spans="2:2" x14ac:dyDescent="0.35">
      <c r="B695" s="18"/>
    </row>
    <row r="696" spans="2:2" x14ac:dyDescent="0.35">
      <c r="B696" s="18"/>
    </row>
    <row r="697" spans="2:2" x14ac:dyDescent="0.35">
      <c r="B697" s="18"/>
    </row>
    <row r="698" spans="2:2" x14ac:dyDescent="0.35">
      <c r="B698" s="18"/>
    </row>
    <row r="699" spans="2:2" x14ac:dyDescent="0.35">
      <c r="B699" s="18"/>
    </row>
    <row r="700" spans="2:2" x14ac:dyDescent="0.35">
      <c r="B700" s="18"/>
    </row>
    <row r="701" spans="2:2" x14ac:dyDescent="0.35">
      <c r="B701" s="18"/>
    </row>
    <row r="702" spans="2:2" x14ac:dyDescent="0.35">
      <c r="B702" s="18"/>
    </row>
    <row r="703" spans="2:2" x14ac:dyDescent="0.35">
      <c r="B703" s="18"/>
    </row>
    <row r="704" spans="2:2" x14ac:dyDescent="0.35">
      <c r="B704" s="18"/>
    </row>
    <row r="705" spans="2:2" x14ac:dyDescent="0.35">
      <c r="B705" s="18"/>
    </row>
    <row r="706" spans="2:2" x14ac:dyDescent="0.35">
      <c r="B706" s="18"/>
    </row>
    <row r="707" spans="2:2" x14ac:dyDescent="0.35">
      <c r="B707" s="18"/>
    </row>
    <row r="708" spans="2:2" x14ac:dyDescent="0.35">
      <c r="B708" s="18"/>
    </row>
    <row r="709" spans="2:2" x14ac:dyDescent="0.35">
      <c r="B709" s="18"/>
    </row>
    <row r="710" spans="2:2" x14ac:dyDescent="0.35">
      <c r="B710" s="18"/>
    </row>
    <row r="711" spans="2:2" x14ac:dyDescent="0.35">
      <c r="B711" s="18"/>
    </row>
    <row r="712" spans="2:2" x14ac:dyDescent="0.35">
      <c r="B712" s="18"/>
    </row>
    <row r="713" spans="2:2" x14ac:dyDescent="0.35">
      <c r="B713" s="18"/>
    </row>
    <row r="714" spans="2:2" x14ac:dyDescent="0.35">
      <c r="B714" s="18"/>
    </row>
    <row r="715" spans="2:2" x14ac:dyDescent="0.35">
      <c r="B715" s="18"/>
    </row>
    <row r="716" spans="2:2" x14ac:dyDescent="0.35">
      <c r="B716" s="18"/>
    </row>
    <row r="717" spans="2:2" x14ac:dyDescent="0.35">
      <c r="B717" s="18"/>
    </row>
    <row r="718" spans="2:2" x14ac:dyDescent="0.35">
      <c r="B718" s="18"/>
    </row>
    <row r="719" spans="2:2" x14ac:dyDescent="0.35">
      <c r="B719" s="18"/>
    </row>
    <row r="720" spans="2:2" x14ac:dyDescent="0.35">
      <c r="B720" s="18"/>
    </row>
    <row r="721" spans="2:2" x14ac:dyDescent="0.35">
      <c r="B721" s="18"/>
    </row>
    <row r="722" spans="2:2" x14ac:dyDescent="0.35">
      <c r="B722" s="18"/>
    </row>
    <row r="723" spans="2:2" x14ac:dyDescent="0.35">
      <c r="B723" s="18"/>
    </row>
    <row r="724" spans="2:2" x14ac:dyDescent="0.35">
      <c r="B724" s="18"/>
    </row>
    <row r="725" spans="2:2" x14ac:dyDescent="0.35">
      <c r="B725" s="18"/>
    </row>
    <row r="726" spans="2:2" x14ac:dyDescent="0.35">
      <c r="B726" s="18"/>
    </row>
    <row r="727" spans="2:2" x14ac:dyDescent="0.35">
      <c r="B727" s="18"/>
    </row>
    <row r="728" spans="2:2" x14ac:dyDescent="0.35">
      <c r="B728" s="18"/>
    </row>
    <row r="729" spans="2:2" x14ac:dyDescent="0.35">
      <c r="B729" s="18"/>
    </row>
    <row r="730" spans="2:2" x14ac:dyDescent="0.35">
      <c r="B730" s="18"/>
    </row>
    <row r="731" spans="2:2" x14ac:dyDescent="0.35">
      <c r="B731" s="18"/>
    </row>
    <row r="732" spans="2:2" x14ac:dyDescent="0.35">
      <c r="B732" s="18"/>
    </row>
    <row r="733" spans="2:2" x14ac:dyDescent="0.35">
      <c r="B733" s="18"/>
    </row>
    <row r="734" spans="2:2" x14ac:dyDescent="0.35">
      <c r="B734" s="18"/>
    </row>
    <row r="735" spans="2:2" x14ac:dyDescent="0.35">
      <c r="B735" s="18"/>
    </row>
    <row r="736" spans="2:2" x14ac:dyDescent="0.35">
      <c r="B736" s="18"/>
    </row>
    <row r="737" spans="2:2" x14ac:dyDescent="0.35">
      <c r="B737" s="18"/>
    </row>
    <row r="738" spans="2:2" x14ac:dyDescent="0.35">
      <c r="B738" s="18"/>
    </row>
    <row r="739" spans="2:2" x14ac:dyDescent="0.35">
      <c r="B739" s="18"/>
    </row>
    <row r="740" spans="2:2" x14ac:dyDescent="0.35">
      <c r="B740" s="18"/>
    </row>
    <row r="741" spans="2:2" x14ac:dyDescent="0.35">
      <c r="B741" s="18"/>
    </row>
    <row r="742" spans="2:2" x14ac:dyDescent="0.35">
      <c r="B742" s="18"/>
    </row>
    <row r="743" spans="2:2" x14ac:dyDescent="0.35">
      <c r="B743" s="18"/>
    </row>
    <row r="744" spans="2:2" x14ac:dyDescent="0.35">
      <c r="B744" s="18"/>
    </row>
    <row r="745" spans="2:2" x14ac:dyDescent="0.35">
      <c r="B745" s="18"/>
    </row>
    <row r="746" spans="2:2" x14ac:dyDescent="0.35">
      <c r="B746" s="18"/>
    </row>
    <row r="747" spans="2:2" x14ac:dyDescent="0.35">
      <c r="B747" s="18"/>
    </row>
    <row r="748" spans="2:2" x14ac:dyDescent="0.35">
      <c r="B748" s="18"/>
    </row>
    <row r="749" spans="2:2" x14ac:dyDescent="0.35">
      <c r="B749" s="18"/>
    </row>
    <row r="750" spans="2:2" x14ac:dyDescent="0.35">
      <c r="B750" s="18"/>
    </row>
    <row r="751" spans="2:2" x14ac:dyDescent="0.35">
      <c r="B751" s="18"/>
    </row>
    <row r="752" spans="2:2" x14ac:dyDescent="0.35">
      <c r="B752" s="18"/>
    </row>
    <row r="753" spans="2:2" x14ac:dyDescent="0.35">
      <c r="B753" s="18"/>
    </row>
    <row r="754" spans="2:2" x14ac:dyDescent="0.35">
      <c r="B754" s="18"/>
    </row>
    <row r="755" spans="2:2" x14ac:dyDescent="0.35">
      <c r="B755" s="18"/>
    </row>
    <row r="756" spans="2:2" x14ac:dyDescent="0.35">
      <c r="B756" s="18"/>
    </row>
    <row r="757" spans="2:2" x14ac:dyDescent="0.35">
      <c r="B757" s="18"/>
    </row>
    <row r="758" spans="2:2" x14ac:dyDescent="0.35">
      <c r="B758" s="18"/>
    </row>
    <row r="759" spans="2:2" x14ac:dyDescent="0.35">
      <c r="B759" s="18"/>
    </row>
    <row r="760" spans="2:2" x14ac:dyDescent="0.35">
      <c r="B760" s="18"/>
    </row>
    <row r="761" spans="2:2" x14ac:dyDescent="0.35">
      <c r="B761" s="18"/>
    </row>
    <row r="762" spans="2:2" x14ac:dyDescent="0.35">
      <c r="B762" s="18"/>
    </row>
    <row r="763" spans="2:2" x14ac:dyDescent="0.35">
      <c r="B763" s="18"/>
    </row>
    <row r="764" spans="2:2" x14ac:dyDescent="0.35">
      <c r="B764" s="18"/>
    </row>
    <row r="765" spans="2:2" x14ac:dyDescent="0.35">
      <c r="B765" s="18"/>
    </row>
    <row r="766" spans="2:2" x14ac:dyDescent="0.35">
      <c r="B766" s="18"/>
    </row>
    <row r="767" spans="2:2" x14ac:dyDescent="0.35">
      <c r="B767" s="18"/>
    </row>
    <row r="768" spans="2:2" x14ac:dyDescent="0.35">
      <c r="B768" s="18"/>
    </row>
    <row r="769" spans="2:2" x14ac:dyDescent="0.35">
      <c r="B769" s="18"/>
    </row>
    <row r="770" spans="2:2" x14ac:dyDescent="0.35">
      <c r="B770" s="18"/>
    </row>
    <row r="771" spans="2:2" x14ac:dyDescent="0.35">
      <c r="B771" s="18"/>
    </row>
    <row r="772" spans="2:2" x14ac:dyDescent="0.35">
      <c r="B772" s="18"/>
    </row>
    <row r="773" spans="2:2" x14ac:dyDescent="0.35">
      <c r="B773" s="18"/>
    </row>
    <row r="774" spans="2:2" x14ac:dyDescent="0.35">
      <c r="B774" s="18"/>
    </row>
    <row r="775" spans="2:2" x14ac:dyDescent="0.35">
      <c r="B775" s="18"/>
    </row>
    <row r="776" spans="2:2" x14ac:dyDescent="0.35">
      <c r="B776" s="18"/>
    </row>
    <row r="777" spans="2:2" x14ac:dyDescent="0.35">
      <c r="B777" s="18"/>
    </row>
    <row r="778" spans="2:2" x14ac:dyDescent="0.35">
      <c r="B778" s="18"/>
    </row>
    <row r="779" spans="2:2" x14ac:dyDescent="0.35">
      <c r="B779" s="18"/>
    </row>
    <row r="780" spans="2:2" x14ac:dyDescent="0.35">
      <c r="B780" s="18"/>
    </row>
    <row r="781" spans="2:2" x14ac:dyDescent="0.35">
      <c r="B781" s="18"/>
    </row>
    <row r="782" spans="2:2" x14ac:dyDescent="0.35">
      <c r="B782" s="18"/>
    </row>
    <row r="783" spans="2:2" x14ac:dyDescent="0.35">
      <c r="B783" s="18"/>
    </row>
    <row r="784" spans="2:2" x14ac:dyDescent="0.35">
      <c r="B784" s="18"/>
    </row>
    <row r="785" spans="2:2" x14ac:dyDescent="0.35">
      <c r="B785" s="18"/>
    </row>
    <row r="786" spans="2:2" x14ac:dyDescent="0.35">
      <c r="B786" s="18"/>
    </row>
    <row r="787" spans="2:2" x14ac:dyDescent="0.35">
      <c r="B787" s="18"/>
    </row>
    <row r="788" spans="2:2" x14ac:dyDescent="0.35">
      <c r="B788" s="18"/>
    </row>
    <row r="789" spans="2:2" x14ac:dyDescent="0.35">
      <c r="B789" s="18"/>
    </row>
    <row r="790" spans="2:2" x14ac:dyDescent="0.35">
      <c r="B790" s="18"/>
    </row>
    <row r="791" spans="2:2" x14ac:dyDescent="0.35">
      <c r="B791" s="18"/>
    </row>
    <row r="792" spans="2:2" x14ac:dyDescent="0.35">
      <c r="B792" s="18"/>
    </row>
    <row r="793" spans="2:2" x14ac:dyDescent="0.35">
      <c r="B793" s="18"/>
    </row>
    <row r="794" spans="2:2" x14ac:dyDescent="0.35">
      <c r="B794" s="18"/>
    </row>
    <row r="795" spans="2:2" x14ac:dyDescent="0.35">
      <c r="B795" s="18"/>
    </row>
    <row r="796" spans="2:2" x14ac:dyDescent="0.35">
      <c r="B796" s="18"/>
    </row>
    <row r="797" spans="2:2" x14ac:dyDescent="0.35">
      <c r="B797" s="18"/>
    </row>
    <row r="798" spans="2:2" x14ac:dyDescent="0.35">
      <c r="B798" s="18"/>
    </row>
    <row r="799" spans="2:2" x14ac:dyDescent="0.35">
      <c r="B799" s="18"/>
    </row>
    <row r="800" spans="2:2" x14ac:dyDescent="0.35">
      <c r="B800" s="18"/>
    </row>
    <row r="801" spans="2:2" x14ac:dyDescent="0.35">
      <c r="B801" s="18"/>
    </row>
    <row r="802" spans="2:2" x14ac:dyDescent="0.35">
      <c r="B802" s="18"/>
    </row>
    <row r="803" spans="2:2" x14ac:dyDescent="0.35">
      <c r="B803" s="18"/>
    </row>
    <row r="804" spans="2:2" x14ac:dyDescent="0.35">
      <c r="B804" s="18"/>
    </row>
    <row r="805" spans="2:2" x14ac:dyDescent="0.35">
      <c r="B805" s="18"/>
    </row>
    <row r="806" spans="2:2" x14ac:dyDescent="0.35">
      <c r="B806" s="18"/>
    </row>
    <row r="807" spans="2:2" x14ac:dyDescent="0.35">
      <c r="B807" s="18"/>
    </row>
    <row r="808" spans="2:2" x14ac:dyDescent="0.35">
      <c r="B808" s="18"/>
    </row>
    <row r="809" spans="2:2" x14ac:dyDescent="0.35">
      <c r="B809" s="18"/>
    </row>
    <row r="810" spans="2:2" x14ac:dyDescent="0.35">
      <c r="B810" s="18"/>
    </row>
    <row r="811" spans="2:2" x14ac:dyDescent="0.35">
      <c r="B811" s="18"/>
    </row>
    <row r="812" spans="2:2" x14ac:dyDescent="0.35">
      <c r="B812" s="18"/>
    </row>
    <row r="813" spans="2:2" x14ac:dyDescent="0.35">
      <c r="B813" s="18"/>
    </row>
    <row r="814" spans="2:2" x14ac:dyDescent="0.35">
      <c r="B814" s="18"/>
    </row>
    <row r="815" spans="2:2" x14ac:dyDescent="0.35">
      <c r="B815" s="18"/>
    </row>
    <row r="816" spans="2:2" x14ac:dyDescent="0.35">
      <c r="B816" s="18"/>
    </row>
    <row r="817" spans="2:2" x14ac:dyDescent="0.35">
      <c r="B817" s="18"/>
    </row>
    <row r="818" spans="2:2" x14ac:dyDescent="0.35">
      <c r="B818" s="18"/>
    </row>
    <row r="819" spans="2:2" x14ac:dyDescent="0.35">
      <c r="B819" s="18"/>
    </row>
    <row r="820" spans="2:2" x14ac:dyDescent="0.35">
      <c r="B820" s="18"/>
    </row>
    <row r="821" spans="2:2" x14ac:dyDescent="0.35">
      <c r="B821" s="18"/>
    </row>
    <row r="822" spans="2:2" x14ac:dyDescent="0.35">
      <c r="B822" s="18"/>
    </row>
    <row r="823" spans="2:2" x14ac:dyDescent="0.35">
      <c r="B823" s="18"/>
    </row>
    <row r="824" spans="2:2" x14ac:dyDescent="0.35">
      <c r="B824" s="18"/>
    </row>
    <row r="825" spans="2:2" x14ac:dyDescent="0.35">
      <c r="B825" s="18"/>
    </row>
    <row r="826" spans="2:2" x14ac:dyDescent="0.35">
      <c r="B826" s="18"/>
    </row>
    <row r="827" spans="2:2" x14ac:dyDescent="0.35">
      <c r="B827" s="18"/>
    </row>
    <row r="828" spans="2:2" x14ac:dyDescent="0.35">
      <c r="B828" s="18"/>
    </row>
    <row r="829" spans="2:2" x14ac:dyDescent="0.35">
      <c r="B829" s="18"/>
    </row>
    <row r="830" spans="2:2" x14ac:dyDescent="0.35">
      <c r="B830" s="18"/>
    </row>
    <row r="831" spans="2:2" x14ac:dyDescent="0.35">
      <c r="B831" s="18"/>
    </row>
    <row r="832" spans="2:2" x14ac:dyDescent="0.35">
      <c r="B832" s="18"/>
    </row>
    <row r="833" spans="2:2" x14ac:dyDescent="0.35">
      <c r="B833" s="18"/>
    </row>
    <row r="834" spans="2:2" x14ac:dyDescent="0.35">
      <c r="B834" s="18"/>
    </row>
    <row r="835" spans="2:2" x14ac:dyDescent="0.35">
      <c r="B835" s="18"/>
    </row>
    <row r="836" spans="2:2" x14ac:dyDescent="0.35">
      <c r="B836" s="18"/>
    </row>
    <row r="837" spans="2:2" x14ac:dyDescent="0.35">
      <c r="B837" s="18"/>
    </row>
    <row r="838" spans="2:2" x14ac:dyDescent="0.35">
      <c r="B838" s="18"/>
    </row>
    <row r="839" spans="2:2" x14ac:dyDescent="0.35">
      <c r="B839" s="18"/>
    </row>
    <row r="840" spans="2:2" x14ac:dyDescent="0.35">
      <c r="B840" s="18"/>
    </row>
    <row r="841" spans="2:2" x14ac:dyDescent="0.35">
      <c r="B841" s="18"/>
    </row>
    <row r="842" spans="2:2" x14ac:dyDescent="0.35">
      <c r="B842" s="18"/>
    </row>
    <row r="843" spans="2:2" x14ac:dyDescent="0.35">
      <c r="B843" s="18"/>
    </row>
    <row r="844" spans="2:2" x14ac:dyDescent="0.35">
      <c r="B844" s="18"/>
    </row>
    <row r="845" spans="2:2" x14ac:dyDescent="0.35">
      <c r="B845" s="18"/>
    </row>
    <row r="846" spans="2:2" x14ac:dyDescent="0.35">
      <c r="B846" s="18"/>
    </row>
    <row r="847" spans="2:2" x14ac:dyDescent="0.35">
      <c r="B847" s="18"/>
    </row>
    <row r="848" spans="2:2" x14ac:dyDescent="0.35">
      <c r="B848" s="18"/>
    </row>
    <row r="849" spans="2:2" x14ac:dyDescent="0.35">
      <c r="B849" s="18"/>
    </row>
    <row r="850" spans="2:2" x14ac:dyDescent="0.35">
      <c r="B850" s="18"/>
    </row>
    <row r="851" spans="2:2" x14ac:dyDescent="0.35">
      <c r="B851" s="18"/>
    </row>
    <row r="852" spans="2:2" x14ac:dyDescent="0.35">
      <c r="B852" s="18"/>
    </row>
    <row r="853" spans="2:2" x14ac:dyDescent="0.35">
      <c r="B853" s="18"/>
    </row>
    <row r="854" spans="2:2" x14ac:dyDescent="0.35">
      <c r="B854" s="18"/>
    </row>
    <row r="855" spans="2:2" x14ac:dyDescent="0.35">
      <c r="B855" s="18"/>
    </row>
    <row r="856" spans="2:2" x14ac:dyDescent="0.35">
      <c r="B856" s="18"/>
    </row>
    <row r="857" spans="2:2" x14ac:dyDescent="0.35">
      <c r="B857" s="18"/>
    </row>
    <row r="858" spans="2:2" x14ac:dyDescent="0.35">
      <c r="B858" s="18"/>
    </row>
    <row r="859" spans="2:2" x14ac:dyDescent="0.35">
      <c r="B859" s="18"/>
    </row>
    <row r="860" spans="2:2" x14ac:dyDescent="0.35">
      <c r="B860" s="18"/>
    </row>
    <row r="861" spans="2:2" x14ac:dyDescent="0.35">
      <c r="B861" s="18"/>
    </row>
    <row r="862" spans="2:2" x14ac:dyDescent="0.35">
      <c r="B862" s="18"/>
    </row>
    <row r="863" spans="2:2" x14ac:dyDescent="0.35">
      <c r="B863" s="18"/>
    </row>
    <row r="864" spans="2:2" x14ac:dyDescent="0.35">
      <c r="B864" s="18"/>
    </row>
    <row r="865" spans="2:2" x14ac:dyDescent="0.35">
      <c r="B865" s="18"/>
    </row>
    <row r="866" spans="2:2" x14ac:dyDescent="0.35">
      <c r="B866" s="18"/>
    </row>
    <row r="867" spans="2:2" x14ac:dyDescent="0.35">
      <c r="B867" s="18"/>
    </row>
    <row r="868" spans="2:2" x14ac:dyDescent="0.35">
      <c r="B868" s="18"/>
    </row>
    <row r="869" spans="2:2" x14ac:dyDescent="0.35">
      <c r="B869" s="18"/>
    </row>
    <row r="870" spans="2:2" x14ac:dyDescent="0.35">
      <c r="B870" s="18"/>
    </row>
    <row r="871" spans="2:2" x14ac:dyDescent="0.35">
      <c r="B871" s="18"/>
    </row>
    <row r="872" spans="2:2" x14ac:dyDescent="0.35">
      <c r="B872" s="18"/>
    </row>
    <row r="873" spans="2:2" x14ac:dyDescent="0.35">
      <c r="B873" s="18"/>
    </row>
    <row r="874" spans="2:2" x14ac:dyDescent="0.35">
      <c r="B874" s="18"/>
    </row>
    <row r="875" spans="2:2" x14ac:dyDescent="0.35">
      <c r="B875" s="18"/>
    </row>
    <row r="876" spans="2:2" x14ac:dyDescent="0.35">
      <c r="B876" s="18"/>
    </row>
    <row r="877" spans="2:2" x14ac:dyDescent="0.35">
      <c r="B877" s="18"/>
    </row>
    <row r="878" spans="2:2" x14ac:dyDescent="0.35">
      <c r="B878" s="18"/>
    </row>
    <row r="879" spans="2:2" x14ac:dyDescent="0.35">
      <c r="B879" s="18"/>
    </row>
    <row r="880" spans="2:2" x14ac:dyDescent="0.35">
      <c r="B880" s="18"/>
    </row>
    <row r="881" spans="2:2" x14ac:dyDescent="0.35">
      <c r="B881" s="18"/>
    </row>
    <row r="882" spans="2:2" x14ac:dyDescent="0.35">
      <c r="B882" s="18"/>
    </row>
    <row r="883" spans="2:2" x14ac:dyDescent="0.35">
      <c r="B883" s="18"/>
    </row>
    <row r="884" spans="2:2" x14ac:dyDescent="0.35">
      <c r="B884" s="18"/>
    </row>
    <row r="885" spans="2:2" x14ac:dyDescent="0.35">
      <c r="B885" s="18"/>
    </row>
    <row r="886" spans="2:2" x14ac:dyDescent="0.35">
      <c r="B886" s="18"/>
    </row>
    <row r="887" spans="2:2" x14ac:dyDescent="0.35">
      <c r="B887" s="18"/>
    </row>
    <row r="888" spans="2:2" x14ac:dyDescent="0.35">
      <c r="B888" s="18"/>
    </row>
    <row r="889" spans="2:2" x14ac:dyDescent="0.35">
      <c r="B889" s="18"/>
    </row>
    <row r="890" spans="2:2" x14ac:dyDescent="0.35">
      <c r="B890" s="18"/>
    </row>
    <row r="891" spans="2:2" x14ac:dyDescent="0.35">
      <c r="B891" s="18"/>
    </row>
    <row r="892" spans="2:2" x14ac:dyDescent="0.35">
      <c r="B892" s="18"/>
    </row>
    <row r="893" spans="2:2" x14ac:dyDescent="0.35">
      <c r="B893" s="18"/>
    </row>
    <row r="894" spans="2:2" x14ac:dyDescent="0.35">
      <c r="B894" s="18"/>
    </row>
    <row r="895" spans="2:2" x14ac:dyDescent="0.35">
      <c r="B895" s="18"/>
    </row>
    <row r="896" spans="2:2" x14ac:dyDescent="0.35">
      <c r="B896" s="18"/>
    </row>
    <row r="897" spans="2:2" x14ac:dyDescent="0.35">
      <c r="B897" s="18"/>
    </row>
    <row r="898" spans="2:2" x14ac:dyDescent="0.35">
      <c r="B898" s="18"/>
    </row>
    <row r="899" spans="2:2" x14ac:dyDescent="0.35">
      <c r="B899" s="18"/>
    </row>
    <row r="900" spans="2:2" x14ac:dyDescent="0.35">
      <c r="B900" s="18"/>
    </row>
    <row r="901" spans="2:2" x14ac:dyDescent="0.35">
      <c r="B901" s="18"/>
    </row>
    <row r="902" spans="2:2" x14ac:dyDescent="0.35">
      <c r="B902" s="18"/>
    </row>
    <row r="903" spans="2:2" x14ac:dyDescent="0.35">
      <c r="B903" s="18"/>
    </row>
    <row r="904" spans="2:2" x14ac:dyDescent="0.35">
      <c r="B904" s="18"/>
    </row>
    <row r="905" spans="2:2" x14ac:dyDescent="0.35">
      <c r="B905" s="18"/>
    </row>
    <row r="906" spans="2:2" x14ac:dyDescent="0.35">
      <c r="B906" s="18"/>
    </row>
    <row r="907" spans="2:2" x14ac:dyDescent="0.35">
      <c r="B907" s="18"/>
    </row>
    <row r="908" spans="2:2" x14ac:dyDescent="0.35">
      <c r="B908" s="18"/>
    </row>
    <row r="909" spans="2:2" x14ac:dyDescent="0.35">
      <c r="B909" s="18"/>
    </row>
    <row r="910" spans="2:2" x14ac:dyDescent="0.35">
      <c r="B910" s="18"/>
    </row>
    <row r="911" spans="2:2" x14ac:dyDescent="0.35">
      <c r="B911" s="18"/>
    </row>
    <row r="912" spans="2:2" x14ac:dyDescent="0.35">
      <c r="B912" s="18"/>
    </row>
    <row r="913" spans="2:2" x14ac:dyDescent="0.35">
      <c r="B913" s="18"/>
    </row>
    <row r="914" spans="2:2" x14ac:dyDescent="0.35">
      <c r="B914" s="18"/>
    </row>
    <row r="915" spans="2:2" x14ac:dyDescent="0.35">
      <c r="B915" s="18"/>
    </row>
    <row r="916" spans="2:2" x14ac:dyDescent="0.35">
      <c r="B916" s="18"/>
    </row>
    <row r="917" spans="2:2" x14ac:dyDescent="0.35">
      <c r="B917" s="18"/>
    </row>
    <row r="918" spans="2:2" x14ac:dyDescent="0.35">
      <c r="B918" s="18"/>
    </row>
    <row r="919" spans="2:2" x14ac:dyDescent="0.35">
      <c r="B919" s="18"/>
    </row>
    <row r="920" spans="2:2" x14ac:dyDescent="0.35">
      <c r="B920" s="18"/>
    </row>
    <row r="921" spans="2:2" x14ac:dyDescent="0.35">
      <c r="B921" s="18"/>
    </row>
    <row r="922" spans="2:2" x14ac:dyDescent="0.35">
      <c r="B922" s="18"/>
    </row>
    <row r="923" spans="2:2" x14ac:dyDescent="0.35">
      <c r="B923" s="18"/>
    </row>
    <row r="924" spans="2:2" x14ac:dyDescent="0.35">
      <c r="B924" s="18"/>
    </row>
    <row r="925" spans="2:2" x14ac:dyDescent="0.35">
      <c r="B925" s="18"/>
    </row>
    <row r="926" spans="2:2" x14ac:dyDescent="0.35">
      <c r="B926" s="18"/>
    </row>
    <row r="927" spans="2:2" x14ac:dyDescent="0.35">
      <c r="B927" s="18"/>
    </row>
    <row r="928" spans="2:2" x14ac:dyDescent="0.35">
      <c r="B928" s="18"/>
    </row>
    <row r="929" spans="2:2" x14ac:dyDescent="0.35">
      <c r="B929" s="18"/>
    </row>
    <row r="930" spans="2:2" x14ac:dyDescent="0.35">
      <c r="B930" s="18"/>
    </row>
    <row r="931" spans="2:2" x14ac:dyDescent="0.35">
      <c r="B931" s="18"/>
    </row>
    <row r="932" spans="2:2" x14ac:dyDescent="0.35">
      <c r="B932" s="18"/>
    </row>
    <row r="933" spans="2:2" x14ac:dyDescent="0.35">
      <c r="B933" s="18"/>
    </row>
    <row r="934" spans="2:2" x14ac:dyDescent="0.35">
      <c r="B934" s="18"/>
    </row>
    <row r="935" spans="2:2" x14ac:dyDescent="0.35">
      <c r="B935" s="18"/>
    </row>
    <row r="936" spans="2:2" x14ac:dyDescent="0.35">
      <c r="B936" s="18"/>
    </row>
    <row r="937" spans="2:2" x14ac:dyDescent="0.35">
      <c r="B937" s="18"/>
    </row>
    <row r="938" spans="2:2" x14ac:dyDescent="0.35">
      <c r="B938" s="18"/>
    </row>
    <row r="939" spans="2:2" x14ac:dyDescent="0.35">
      <c r="B939" s="18"/>
    </row>
    <row r="940" spans="2:2" x14ac:dyDescent="0.35">
      <c r="B940" s="18"/>
    </row>
    <row r="941" spans="2:2" x14ac:dyDescent="0.35">
      <c r="B941" s="18"/>
    </row>
    <row r="942" spans="2:2" x14ac:dyDescent="0.35">
      <c r="B942" s="18"/>
    </row>
    <row r="943" spans="2:2" x14ac:dyDescent="0.35">
      <c r="B943" s="18"/>
    </row>
    <row r="944" spans="2:2" x14ac:dyDescent="0.35">
      <c r="B944" s="18"/>
    </row>
    <row r="945" spans="2:2" x14ac:dyDescent="0.35">
      <c r="B945" s="18"/>
    </row>
    <row r="946" spans="2:2" x14ac:dyDescent="0.35">
      <c r="B946" s="18"/>
    </row>
    <row r="947" spans="2:2" x14ac:dyDescent="0.35">
      <c r="B947" s="18"/>
    </row>
    <row r="948" spans="2:2" x14ac:dyDescent="0.35">
      <c r="B948" s="18"/>
    </row>
    <row r="949" spans="2:2" x14ac:dyDescent="0.35">
      <c r="B949" s="18"/>
    </row>
    <row r="950" spans="2:2" x14ac:dyDescent="0.35">
      <c r="B950" s="18"/>
    </row>
    <row r="951" spans="2:2" x14ac:dyDescent="0.35">
      <c r="B951" s="18"/>
    </row>
    <row r="952" spans="2:2" x14ac:dyDescent="0.35">
      <c r="B952" s="18"/>
    </row>
    <row r="953" spans="2:2" x14ac:dyDescent="0.35">
      <c r="B953" s="18"/>
    </row>
    <row r="954" spans="2:2" x14ac:dyDescent="0.35">
      <c r="B954" s="18"/>
    </row>
    <row r="955" spans="2:2" x14ac:dyDescent="0.35">
      <c r="B955" s="18"/>
    </row>
    <row r="956" spans="2:2" x14ac:dyDescent="0.35">
      <c r="B956" s="18"/>
    </row>
    <row r="957" spans="2:2" x14ac:dyDescent="0.35">
      <c r="B957" s="18"/>
    </row>
    <row r="958" spans="2:2" x14ac:dyDescent="0.35">
      <c r="B958" s="18"/>
    </row>
    <row r="959" spans="2:2" x14ac:dyDescent="0.35">
      <c r="B959" s="18"/>
    </row>
    <row r="960" spans="2:2" x14ac:dyDescent="0.35">
      <c r="B960" s="18"/>
    </row>
    <row r="961" spans="2:2" x14ac:dyDescent="0.35">
      <c r="B961" s="18"/>
    </row>
    <row r="962" spans="2:2" x14ac:dyDescent="0.35">
      <c r="B962" s="18"/>
    </row>
    <row r="963" spans="2:2" x14ac:dyDescent="0.35">
      <c r="B963" s="18"/>
    </row>
    <row r="964" spans="2:2" x14ac:dyDescent="0.35">
      <c r="B964" s="18"/>
    </row>
    <row r="965" spans="2:2" x14ac:dyDescent="0.35">
      <c r="B965" s="18"/>
    </row>
    <row r="966" spans="2:2" x14ac:dyDescent="0.35">
      <c r="B966" s="18"/>
    </row>
    <row r="967" spans="2:2" x14ac:dyDescent="0.35">
      <c r="B967" s="18"/>
    </row>
    <row r="968" spans="2:2" x14ac:dyDescent="0.35">
      <c r="B968" s="18"/>
    </row>
    <row r="969" spans="2:2" x14ac:dyDescent="0.35">
      <c r="B969" s="18"/>
    </row>
    <row r="970" spans="2:2" x14ac:dyDescent="0.35">
      <c r="B970" s="18"/>
    </row>
    <row r="971" spans="2:2" x14ac:dyDescent="0.35">
      <c r="B971" s="18"/>
    </row>
    <row r="972" spans="2:2" x14ac:dyDescent="0.35">
      <c r="B972" s="18"/>
    </row>
    <row r="973" spans="2:2" x14ac:dyDescent="0.35">
      <c r="B973" s="18"/>
    </row>
    <row r="974" spans="2:2" x14ac:dyDescent="0.35">
      <c r="B974" s="18"/>
    </row>
    <row r="975" spans="2:2" x14ac:dyDescent="0.35">
      <c r="B975" s="18"/>
    </row>
    <row r="976" spans="2:2" x14ac:dyDescent="0.35">
      <c r="B976" s="18"/>
    </row>
    <row r="977" spans="2:2" x14ac:dyDescent="0.35">
      <c r="B977" s="18"/>
    </row>
    <row r="978" spans="2:2" x14ac:dyDescent="0.35">
      <c r="B978" s="18"/>
    </row>
    <row r="979" spans="2:2" x14ac:dyDescent="0.35">
      <c r="B979" s="18"/>
    </row>
    <row r="980" spans="2:2" x14ac:dyDescent="0.35">
      <c r="B980" s="18"/>
    </row>
    <row r="981" spans="2:2" x14ac:dyDescent="0.35">
      <c r="B981" s="18"/>
    </row>
    <row r="982" spans="2:2" x14ac:dyDescent="0.35">
      <c r="B982" s="18"/>
    </row>
    <row r="983" spans="2:2" x14ac:dyDescent="0.35">
      <c r="B983" s="18"/>
    </row>
    <row r="984" spans="2:2" x14ac:dyDescent="0.35">
      <c r="B984" s="18"/>
    </row>
    <row r="985" spans="2:2" x14ac:dyDescent="0.35">
      <c r="B985" s="18"/>
    </row>
    <row r="986" spans="2:2" x14ac:dyDescent="0.35">
      <c r="B986" s="18"/>
    </row>
    <row r="987" spans="2:2" x14ac:dyDescent="0.35">
      <c r="B987" s="18"/>
    </row>
    <row r="988" spans="2:2" x14ac:dyDescent="0.35">
      <c r="B988" s="18"/>
    </row>
    <row r="989" spans="2:2" x14ac:dyDescent="0.35">
      <c r="B989" s="18"/>
    </row>
    <row r="990" spans="2:2" x14ac:dyDescent="0.35">
      <c r="B990" s="18"/>
    </row>
    <row r="991" spans="2:2" x14ac:dyDescent="0.35">
      <c r="B991" s="18"/>
    </row>
    <row r="992" spans="2:2" x14ac:dyDescent="0.35">
      <c r="B992" s="18"/>
    </row>
    <row r="993" spans="2:2" x14ac:dyDescent="0.35">
      <c r="B993" s="18"/>
    </row>
    <row r="994" spans="2:2" x14ac:dyDescent="0.35">
      <c r="B994" s="18"/>
    </row>
    <row r="995" spans="2:2" x14ac:dyDescent="0.35">
      <c r="B995" s="18"/>
    </row>
    <row r="996" spans="2:2" x14ac:dyDescent="0.35">
      <c r="B996" s="18"/>
    </row>
    <row r="997" spans="2:2" x14ac:dyDescent="0.35">
      <c r="B997" s="18"/>
    </row>
    <row r="998" spans="2:2" x14ac:dyDescent="0.35">
      <c r="B998" s="18"/>
    </row>
    <row r="999" spans="2:2" x14ac:dyDescent="0.35">
      <c r="B999" s="18"/>
    </row>
    <row r="1000" spans="2:2" x14ac:dyDescent="0.35">
      <c r="B1000" s="18"/>
    </row>
  </sheetData>
  <sheetProtection algorithmName="SHA-512" hashValue="WKm7Zfb/uWR+yVEO/U8PIocyzXEGaumgWlGXxWQYPyHISZc2JQVEiJXCHAgjwwQTs3do19OpNZEYe0HiPDZUyQ==" saltValue="FH9jzjPKm76ESvSMfnR8Tw==" spinCount="100000" sheet="1" selectLockedCells="1"/>
  <phoneticPr fontId="4" type="noConversion"/>
  <conditionalFormatting sqref="B3:B501">
    <cfRule type="duplicateValues" dxfId="1" priority="2"/>
  </conditionalFormatting>
  <conditionalFormatting sqref="B3:B652">
    <cfRule type="duplicateValues" dxfId="0" priority="1"/>
  </conditionalFormatting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O3" sqref="O3:O34"/>
    </sheetView>
  </sheetViews>
  <sheetFormatPr defaultRowHeight="14.5" x14ac:dyDescent="0.35"/>
  <cols>
    <col min="4" max="4" width="15.26953125" bestFit="1" customWidth="1"/>
    <col min="5" max="5" width="5.26953125" bestFit="1" customWidth="1"/>
    <col min="6" max="6" width="11" bestFit="1" customWidth="1"/>
    <col min="7" max="7" width="12.26953125" bestFit="1" customWidth="1"/>
    <col min="8" max="9" width="14.26953125" bestFit="1" customWidth="1"/>
  </cols>
  <sheetData>
    <row r="1" spans="1:31" ht="15" thickBot="1" x14ac:dyDescent="0.4">
      <c r="A1" t="s">
        <v>1</v>
      </c>
      <c r="B1" t="s">
        <v>2</v>
      </c>
      <c r="C1" t="s">
        <v>3</v>
      </c>
      <c r="D1" s="20" t="s">
        <v>4</v>
      </c>
      <c r="E1" s="20"/>
      <c r="F1" s="20"/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</row>
    <row r="2" spans="1:31" x14ac:dyDescent="0.35">
      <c r="A2" t="s">
        <v>24</v>
      </c>
      <c r="B2" t="s">
        <v>5</v>
      </c>
      <c r="C2" t="s">
        <v>25</v>
      </c>
      <c r="D2" s="3" t="s">
        <v>26</v>
      </c>
      <c r="E2" s="3" t="s">
        <v>27</v>
      </c>
      <c r="F2" s="3" t="s">
        <v>28</v>
      </c>
      <c r="G2" s="3" t="s">
        <v>29</v>
      </c>
      <c r="H2" s="3" t="s">
        <v>30</v>
      </c>
      <c r="I2" s="3" t="s">
        <v>31</v>
      </c>
      <c r="J2" s="4" t="s">
        <v>27</v>
      </c>
      <c r="K2" s="21" t="s">
        <v>32</v>
      </c>
      <c r="L2" s="22"/>
      <c r="M2" s="5" t="s">
        <v>33</v>
      </c>
      <c r="N2" s="6" t="s">
        <v>34</v>
      </c>
      <c r="O2" s="7" t="s">
        <v>35</v>
      </c>
      <c r="P2" s="7" t="s">
        <v>36</v>
      </c>
      <c r="Q2" s="7" t="s">
        <v>37</v>
      </c>
      <c r="R2" s="6" t="s">
        <v>38</v>
      </c>
      <c r="S2" s="7" t="s">
        <v>39</v>
      </c>
      <c r="T2" s="7" t="s">
        <v>40</v>
      </c>
      <c r="U2" s="7" t="s">
        <v>41</v>
      </c>
      <c r="V2" s="7" t="s">
        <v>42</v>
      </c>
      <c r="W2" s="7" t="s">
        <v>43</v>
      </c>
      <c r="X2" s="6" t="s">
        <v>44</v>
      </c>
      <c r="Y2" s="7" t="s">
        <v>45</v>
      </c>
      <c r="Z2" s="6" t="s">
        <v>46</v>
      </c>
      <c r="AA2" s="8" t="s">
        <v>47</v>
      </c>
      <c r="AB2" s="6" t="s">
        <v>48</v>
      </c>
      <c r="AC2" s="6" t="s">
        <v>49</v>
      </c>
      <c r="AD2" s="6" t="s">
        <v>50</v>
      </c>
      <c r="AE2" s="6" t="s">
        <v>51</v>
      </c>
    </row>
    <row r="3" spans="1:31" x14ac:dyDescent="0.35">
      <c r="A3" t="s">
        <v>52</v>
      </c>
      <c r="B3" t="s">
        <v>6</v>
      </c>
      <c r="C3" t="s">
        <v>53</v>
      </c>
      <c r="D3" s="9">
        <v>2</v>
      </c>
      <c r="E3" s="9" t="s">
        <v>7</v>
      </c>
      <c r="F3" s="9" t="s">
        <v>54</v>
      </c>
      <c r="G3" s="9" t="str">
        <f>LEFT(D3,11)</f>
        <v>2</v>
      </c>
      <c r="H3" s="9" t="str">
        <f>G3&amp;"93"</f>
        <v>293</v>
      </c>
      <c r="I3" s="9" t="str">
        <f>G3&amp;92</f>
        <v>292</v>
      </c>
      <c r="J3">
        <f>VLOOKUP(E3,F9:G28,2,0)</f>
        <v>4</v>
      </c>
      <c r="K3" s="10" t="s">
        <v>55</v>
      </c>
      <c r="L3" s="10" t="s">
        <v>56</v>
      </c>
      <c r="M3" s="11" t="s">
        <v>57</v>
      </c>
      <c r="N3" s="12" t="s">
        <v>58</v>
      </c>
      <c r="O3" s="12" t="s">
        <v>59</v>
      </c>
      <c r="P3" s="12" t="s">
        <v>60</v>
      </c>
      <c r="Q3" s="12" t="s">
        <v>61</v>
      </c>
      <c r="R3" s="12" t="s">
        <v>62</v>
      </c>
      <c r="S3" s="12" t="s">
        <v>63</v>
      </c>
      <c r="T3" s="12" t="s">
        <v>64</v>
      </c>
      <c r="U3" s="12" t="s">
        <v>65</v>
      </c>
      <c r="V3" s="12" t="s">
        <v>66</v>
      </c>
      <c r="W3" s="12" t="s">
        <v>67</v>
      </c>
      <c r="X3" s="12" t="s">
        <v>68</v>
      </c>
      <c r="Y3" s="12" t="s">
        <v>69</v>
      </c>
      <c r="Z3" s="12" t="s">
        <v>70</v>
      </c>
      <c r="AA3" s="13" t="s">
        <v>71</v>
      </c>
      <c r="AB3" s="12" t="s">
        <v>72</v>
      </c>
      <c r="AC3" s="12" t="s">
        <v>73</v>
      </c>
      <c r="AD3" s="12" t="s">
        <v>74</v>
      </c>
      <c r="AE3" s="12" t="s">
        <v>75</v>
      </c>
    </row>
    <row r="4" spans="1:31" x14ac:dyDescent="0.35">
      <c r="A4" t="s">
        <v>76</v>
      </c>
      <c r="B4" t="s">
        <v>7</v>
      </c>
      <c r="C4" t="s">
        <v>54</v>
      </c>
      <c r="K4" s="10" t="s">
        <v>77</v>
      </c>
      <c r="L4" s="10" t="s">
        <v>78</v>
      </c>
      <c r="M4" s="11" t="s">
        <v>79</v>
      </c>
      <c r="N4" s="12" t="s">
        <v>80</v>
      </c>
      <c r="O4" s="12" t="s">
        <v>81</v>
      </c>
      <c r="P4" s="12" t="s">
        <v>82</v>
      </c>
      <c r="Q4" s="12" t="s">
        <v>83</v>
      </c>
      <c r="R4" s="12" t="s">
        <v>84</v>
      </c>
      <c r="S4" s="12" t="s">
        <v>85</v>
      </c>
      <c r="T4" s="12" t="s">
        <v>86</v>
      </c>
      <c r="U4" s="12" t="s">
        <v>87</v>
      </c>
      <c r="V4" s="12" t="s">
        <v>88</v>
      </c>
      <c r="W4" s="12" t="s">
        <v>89</v>
      </c>
      <c r="X4" s="12" t="s">
        <v>90</v>
      </c>
      <c r="Y4" s="12" t="s">
        <v>91</v>
      </c>
      <c r="Z4" s="12" t="s">
        <v>92</v>
      </c>
      <c r="AA4" s="13" t="s">
        <v>93</v>
      </c>
      <c r="AB4" s="12" t="s">
        <v>94</v>
      </c>
      <c r="AC4" s="12" t="s">
        <v>95</v>
      </c>
      <c r="AD4" s="12" t="s">
        <v>96</v>
      </c>
      <c r="AE4" s="12" t="s">
        <v>97</v>
      </c>
    </row>
    <row r="5" spans="1:31" x14ac:dyDescent="0.35">
      <c r="A5" t="s">
        <v>98</v>
      </c>
      <c r="B5" t="s">
        <v>8</v>
      </c>
      <c r="K5" s="10" t="s">
        <v>99</v>
      </c>
      <c r="L5" s="10" t="s">
        <v>100</v>
      </c>
      <c r="M5" s="11" t="s">
        <v>101</v>
      </c>
      <c r="N5" s="12" t="s">
        <v>102</v>
      </c>
      <c r="O5" s="12" t="s">
        <v>103</v>
      </c>
      <c r="P5" s="12" t="s">
        <v>104</v>
      </c>
      <c r="Q5" s="12" t="s">
        <v>105</v>
      </c>
      <c r="R5" s="12" t="s">
        <v>106</v>
      </c>
      <c r="S5" s="12" t="s">
        <v>107</v>
      </c>
      <c r="T5" s="12" t="s">
        <v>108</v>
      </c>
      <c r="U5" s="12" t="s">
        <v>109</v>
      </c>
      <c r="V5" s="12" t="s">
        <v>110</v>
      </c>
      <c r="W5" s="12" t="s">
        <v>111</v>
      </c>
      <c r="X5" s="12" t="s">
        <v>112</v>
      </c>
      <c r="Y5" s="12" t="s">
        <v>113</v>
      </c>
      <c r="Z5" s="12" t="s">
        <v>114</v>
      </c>
      <c r="AA5" s="13" t="s">
        <v>115</v>
      </c>
      <c r="AB5" s="12" t="s">
        <v>116</v>
      </c>
      <c r="AC5" s="12" t="s">
        <v>117</v>
      </c>
      <c r="AD5" s="12" t="s">
        <v>118</v>
      </c>
      <c r="AE5" s="12" t="s">
        <v>119</v>
      </c>
    </row>
    <row r="6" spans="1:31" x14ac:dyDescent="0.35">
      <c r="A6" t="s">
        <v>120</v>
      </c>
      <c r="B6" t="s">
        <v>9</v>
      </c>
      <c r="K6" s="10" t="s">
        <v>121</v>
      </c>
      <c r="L6" s="10" t="s">
        <v>122</v>
      </c>
      <c r="M6" s="11" t="s">
        <v>123</v>
      </c>
      <c r="N6" s="12" t="s">
        <v>123</v>
      </c>
      <c r="O6" s="12" t="s">
        <v>123</v>
      </c>
      <c r="P6" s="12" t="s">
        <v>123</v>
      </c>
      <c r="Q6" s="12" t="s">
        <v>123</v>
      </c>
      <c r="R6" s="12" t="s">
        <v>123</v>
      </c>
      <c r="S6" s="12" t="s">
        <v>123</v>
      </c>
      <c r="T6" s="12" t="s">
        <v>123</v>
      </c>
      <c r="U6" s="12" t="s">
        <v>123</v>
      </c>
      <c r="V6" s="12" t="s">
        <v>123</v>
      </c>
      <c r="W6" s="12" t="s">
        <v>123</v>
      </c>
      <c r="X6" s="12" t="s">
        <v>123</v>
      </c>
      <c r="Y6" s="12" t="s">
        <v>123</v>
      </c>
      <c r="Z6" s="12" t="s">
        <v>123</v>
      </c>
      <c r="AA6" s="13" t="s">
        <v>123</v>
      </c>
      <c r="AB6" s="12" t="s">
        <v>123</v>
      </c>
      <c r="AC6" s="12" t="s">
        <v>123</v>
      </c>
      <c r="AD6" s="12" t="s">
        <v>123</v>
      </c>
      <c r="AE6" s="12" t="s">
        <v>123</v>
      </c>
    </row>
    <row r="7" spans="1:31" x14ac:dyDescent="0.35">
      <c r="B7" t="s">
        <v>10</v>
      </c>
      <c r="K7" s="10" t="s">
        <v>124</v>
      </c>
      <c r="L7" s="10" t="s">
        <v>125</v>
      </c>
      <c r="M7" s="11" t="s">
        <v>126</v>
      </c>
      <c r="N7" s="12" t="s">
        <v>127</v>
      </c>
      <c r="O7" s="12" t="s">
        <v>128</v>
      </c>
      <c r="P7" s="12" t="s">
        <v>129</v>
      </c>
      <c r="Q7" s="12" t="s">
        <v>130</v>
      </c>
      <c r="R7" s="12" t="s">
        <v>131</v>
      </c>
      <c r="S7" s="12" t="s">
        <v>132</v>
      </c>
      <c r="T7" s="12" t="s">
        <v>133</v>
      </c>
      <c r="U7" s="12" t="s">
        <v>134</v>
      </c>
      <c r="V7" s="12" t="s">
        <v>135</v>
      </c>
      <c r="W7" s="12" t="s">
        <v>136</v>
      </c>
      <c r="X7" s="12" t="s">
        <v>137</v>
      </c>
      <c r="Y7" s="12" t="s">
        <v>138</v>
      </c>
      <c r="Z7" s="12" t="s">
        <v>139</v>
      </c>
      <c r="AA7" s="13" t="s">
        <v>140</v>
      </c>
      <c r="AB7" s="12" t="s">
        <v>141</v>
      </c>
      <c r="AC7" s="12" t="s">
        <v>142</v>
      </c>
      <c r="AD7" s="12" t="s">
        <v>143</v>
      </c>
      <c r="AE7" s="12" t="s">
        <v>144</v>
      </c>
    </row>
    <row r="8" spans="1:31" x14ac:dyDescent="0.35">
      <c r="B8" t="s">
        <v>11</v>
      </c>
      <c r="K8" s="10" t="s">
        <v>145</v>
      </c>
      <c r="L8" s="10" t="s">
        <v>122</v>
      </c>
      <c r="M8" s="11" t="s">
        <v>123</v>
      </c>
      <c r="N8" s="12" t="s">
        <v>123</v>
      </c>
      <c r="O8" s="12" t="s">
        <v>123</v>
      </c>
      <c r="P8" s="12" t="s">
        <v>123</v>
      </c>
      <c r="Q8" s="12" t="s">
        <v>123</v>
      </c>
      <c r="R8" s="12" t="s">
        <v>123</v>
      </c>
      <c r="S8" s="12" t="s">
        <v>123</v>
      </c>
      <c r="T8" s="12" t="s">
        <v>123</v>
      </c>
      <c r="U8" s="12" t="s">
        <v>123</v>
      </c>
      <c r="V8" s="12" t="s">
        <v>123</v>
      </c>
      <c r="W8" s="12" t="s">
        <v>123</v>
      </c>
      <c r="X8" s="12" t="s">
        <v>123</v>
      </c>
      <c r="Y8" s="12" t="s">
        <v>123</v>
      </c>
      <c r="Z8" s="12" t="s">
        <v>123</v>
      </c>
      <c r="AA8" s="13" t="s">
        <v>123</v>
      </c>
      <c r="AB8" s="12" t="s">
        <v>123</v>
      </c>
      <c r="AC8" s="12" t="s">
        <v>123</v>
      </c>
      <c r="AD8" s="12" t="s">
        <v>123</v>
      </c>
      <c r="AE8" s="12" t="s">
        <v>123</v>
      </c>
    </row>
    <row r="9" spans="1:31" x14ac:dyDescent="0.35">
      <c r="B9" t="s">
        <v>12</v>
      </c>
      <c r="F9" s="4" t="s">
        <v>146</v>
      </c>
      <c r="G9" s="4" t="s">
        <v>27</v>
      </c>
      <c r="K9" s="10" t="s">
        <v>147</v>
      </c>
      <c r="L9" s="10" t="s">
        <v>148</v>
      </c>
      <c r="M9" s="11" t="s">
        <v>149</v>
      </c>
      <c r="N9" s="12" t="s">
        <v>150</v>
      </c>
      <c r="O9" s="12" t="s">
        <v>151</v>
      </c>
      <c r="P9" s="12" t="s">
        <v>152</v>
      </c>
      <c r="Q9" s="12" t="s">
        <v>153</v>
      </c>
      <c r="R9" s="12" t="s">
        <v>154</v>
      </c>
      <c r="S9" s="12" t="s">
        <v>155</v>
      </c>
      <c r="T9" s="12" t="s">
        <v>156</v>
      </c>
      <c r="U9" s="12" t="s">
        <v>157</v>
      </c>
      <c r="V9" s="12" t="s">
        <v>158</v>
      </c>
      <c r="W9" s="12" t="s">
        <v>159</v>
      </c>
      <c r="X9" s="12" t="s">
        <v>160</v>
      </c>
      <c r="Y9" s="12" t="s">
        <v>161</v>
      </c>
      <c r="Z9" s="12" t="s">
        <v>162</v>
      </c>
      <c r="AA9" s="13" t="s">
        <v>163</v>
      </c>
      <c r="AB9" s="12" t="s">
        <v>164</v>
      </c>
      <c r="AC9" s="12" t="s">
        <v>165</v>
      </c>
      <c r="AD9" s="12" t="s">
        <v>166</v>
      </c>
      <c r="AE9" s="12" t="s">
        <v>167</v>
      </c>
    </row>
    <row r="10" spans="1:31" x14ac:dyDescent="0.35">
      <c r="B10" t="s">
        <v>13</v>
      </c>
      <c r="F10" t="s">
        <v>5</v>
      </c>
      <c r="G10">
        <v>2</v>
      </c>
      <c r="K10" s="10" t="s">
        <v>168</v>
      </c>
      <c r="L10" s="10" t="s">
        <v>122</v>
      </c>
      <c r="M10" s="11" t="s">
        <v>123</v>
      </c>
      <c r="N10" s="12" t="s">
        <v>123</v>
      </c>
      <c r="O10" s="12" t="s">
        <v>123</v>
      </c>
      <c r="P10" s="12" t="s">
        <v>123</v>
      </c>
      <c r="Q10" s="12" t="s">
        <v>123</v>
      </c>
      <c r="R10" s="12" t="s">
        <v>123</v>
      </c>
      <c r="S10" s="12" t="s">
        <v>123</v>
      </c>
      <c r="T10" s="12" t="s">
        <v>123</v>
      </c>
      <c r="U10" s="12" t="s">
        <v>123</v>
      </c>
      <c r="V10" s="12" t="s">
        <v>123</v>
      </c>
      <c r="W10" s="12" t="s">
        <v>123</v>
      </c>
      <c r="X10" s="12" t="s">
        <v>123</v>
      </c>
      <c r="Y10" s="12" t="s">
        <v>123</v>
      </c>
      <c r="Z10" s="12" t="s">
        <v>123</v>
      </c>
      <c r="AA10" s="13" t="s">
        <v>123</v>
      </c>
      <c r="AB10" s="12" t="s">
        <v>123</v>
      </c>
      <c r="AC10" s="12" t="s">
        <v>123</v>
      </c>
      <c r="AD10" s="12" t="s">
        <v>123</v>
      </c>
      <c r="AE10" s="12" t="s">
        <v>123</v>
      </c>
    </row>
    <row r="11" spans="1:31" x14ac:dyDescent="0.35">
      <c r="B11" t="s">
        <v>14</v>
      </c>
      <c r="F11" t="s">
        <v>6</v>
      </c>
      <c r="G11">
        <v>3</v>
      </c>
      <c r="K11" s="10" t="s">
        <v>169</v>
      </c>
      <c r="L11" s="10" t="s">
        <v>170</v>
      </c>
      <c r="M11" s="11" t="s">
        <v>171</v>
      </c>
      <c r="N11" s="12" t="s">
        <v>172</v>
      </c>
      <c r="O11" s="12" t="s">
        <v>173</v>
      </c>
      <c r="P11" s="12" t="s">
        <v>174</v>
      </c>
      <c r="Q11" s="12" t="s">
        <v>175</v>
      </c>
      <c r="R11" s="12" t="s">
        <v>176</v>
      </c>
      <c r="S11" s="12" t="s">
        <v>177</v>
      </c>
      <c r="T11" s="12" t="s">
        <v>178</v>
      </c>
      <c r="U11" s="12" t="s">
        <v>179</v>
      </c>
      <c r="V11" s="12" t="s">
        <v>180</v>
      </c>
      <c r="W11" s="12" t="s">
        <v>181</v>
      </c>
      <c r="X11" s="12" t="s">
        <v>182</v>
      </c>
      <c r="Y11" s="12" t="s">
        <v>183</v>
      </c>
      <c r="Z11" s="12" t="s">
        <v>184</v>
      </c>
      <c r="AA11" s="13" t="s">
        <v>185</v>
      </c>
      <c r="AB11" s="12" t="s">
        <v>186</v>
      </c>
      <c r="AC11" s="12" t="s">
        <v>187</v>
      </c>
      <c r="AD11" s="12" t="s">
        <v>188</v>
      </c>
      <c r="AE11" s="12" t="s">
        <v>189</v>
      </c>
    </row>
    <row r="12" spans="1:31" x14ac:dyDescent="0.35">
      <c r="B12" t="s">
        <v>15</v>
      </c>
      <c r="F12" t="s">
        <v>7</v>
      </c>
      <c r="G12">
        <v>4</v>
      </c>
      <c r="K12" s="10" t="s">
        <v>190</v>
      </c>
      <c r="L12" s="10" t="s">
        <v>122</v>
      </c>
      <c r="M12" s="11" t="s">
        <v>123</v>
      </c>
      <c r="N12" s="12" t="s">
        <v>123</v>
      </c>
      <c r="O12" s="12" t="s">
        <v>123</v>
      </c>
      <c r="P12" s="12" t="s">
        <v>123</v>
      </c>
      <c r="Q12" s="12" t="s">
        <v>123</v>
      </c>
      <c r="R12" s="12" t="s">
        <v>123</v>
      </c>
      <c r="S12" s="12" t="s">
        <v>123</v>
      </c>
      <c r="T12" s="12" t="s">
        <v>123</v>
      </c>
      <c r="U12" s="12" t="s">
        <v>123</v>
      </c>
      <c r="V12" s="12" t="s">
        <v>123</v>
      </c>
      <c r="W12" s="12" t="s">
        <v>123</v>
      </c>
      <c r="X12" s="12" t="s">
        <v>123</v>
      </c>
      <c r="Y12" s="12" t="s">
        <v>123</v>
      </c>
      <c r="Z12" s="12" t="s">
        <v>123</v>
      </c>
      <c r="AA12" s="13" t="s">
        <v>123</v>
      </c>
      <c r="AB12" s="12" t="s">
        <v>123</v>
      </c>
      <c r="AC12" s="12" t="s">
        <v>123</v>
      </c>
      <c r="AD12" s="12" t="s">
        <v>123</v>
      </c>
      <c r="AE12" s="12" t="s">
        <v>123</v>
      </c>
    </row>
    <row r="13" spans="1:31" x14ac:dyDescent="0.35">
      <c r="B13" t="s">
        <v>16</v>
      </c>
      <c r="F13" t="s">
        <v>8</v>
      </c>
      <c r="G13">
        <v>5</v>
      </c>
      <c r="K13" s="10" t="s">
        <v>191</v>
      </c>
      <c r="L13" s="10" t="s">
        <v>192</v>
      </c>
      <c r="M13" s="11" t="s">
        <v>193</v>
      </c>
      <c r="N13" s="12" t="s">
        <v>194</v>
      </c>
      <c r="O13" s="12" t="s">
        <v>195</v>
      </c>
      <c r="P13" s="12" t="s">
        <v>196</v>
      </c>
      <c r="Q13" s="12" t="s">
        <v>197</v>
      </c>
      <c r="R13" s="12" t="s">
        <v>198</v>
      </c>
      <c r="S13" s="12" t="s">
        <v>199</v>
      </c>
      <c r="T13" s="12" t="s">
        <v>200</v>
      </c>
      <c r="U13" s="12" t="s">
        <v>201</v>
      </c>
      <c r="V13" s="12" t="s">
        <v>202</v>
      </c>
      <c r="W13" s="12" t="s">
        <v>203</v>
      </c>
      <c r="X13" s="12" t="s">
        <v>204</v>
      </c>
      <c r="Y13" s="12" t="s">
        <v>205</v>
      </c>
      <c r="Z13" s="12" t="s">
        <v>206</v>
      </c>
      <c r="AA13" s="13" t="s">
        <v>207</v>
      </c>
      <c r="AB13" s="12" t="s">
        <v>186</v>
      </c>
      <c r="AC13" s="12" t="s">
        <v>208</v>
      </c>
      <c r="AD13" s="12" t="s">
        <v>209</v>
      </c>
      <c r="AE13" s="12" t="s">
        <v>210</v>
      </c>
    </row>
    <row r="14" spans="1:31" x14ac:dyDescent="0.35">
      <c r="B14" t="s">
        <v>17</v>
      </c>
      <c r="F14" t="s">
        <v>9</v>
      </c>
      <c r="G14">
        <v>6</v>
      </c>
      <c r="K14" s="10" t="s">
        <v>211</v>
      </c>
      <c r="L14" s="10" t="s">
        <v>122</v>
      </c>
      <c r="M14" s="11" t="s">
        <v>123</v>
      </c>
      <c r="N14" s="12" t="s">
        <v>123</v>
      </c>
      <c r="O14" s="12" t="s">
        <v>123</v>
      </c>
      <c r="P14" s="12" t="s">
        <v>123</v>
      </c>
      <c r="Q14" s="12" t="s">
        <v>123</v>
      </c>
      <c r="R14" s="12" t="s">
        <v>123</v>
      </c>
      <c r="S14" s="12" t="s">
        <v>123</v>
      </c>
      <c r="T14" s="12" t="s">
        <v>123</v>
      </c>
      <c r="U14" s="12" t="s">
        <v>123</v>
      </c>
      <c r="V14" s="12" t="s">
        <v>123</v>
      </c>
      <c r="W14" s="12" t="s">
        <v>123</v>
      </c>
      <c r="X14" s="12" t="s">
        <v>123</v>
      </c>
      <c r="Y14" s="12" t="s">
        <v>123</v>
      </c>
      <c r="Z14" s="12" t="s">
        <v>123</v>
      </c>
      <c r="AA14" s="13" t="s">
        <v>123</v>
      </c>
      <c r="AB14" s="12" t="s">
        <v>123</v>
      </c>
      <c r="AC14" s="12" t="s">
        <v>123</v>
      </c>
      <c r="AD14" s="12" t="s">
        <v>123</v>
      </c>
      <c r="AE14" s="12" t="s">
        <v>123</v>
      </c>
    </row>
    <row r="15" spans="1:31" x14ac:dyDescent="0.35">
      <c r="B15" t="s">
        <v>18</v>
      </c>
      <c r="F15" t="s">
        <v>10</v>
      </c>
      <c r="G15">
        <v>7</v>
      </c>
      <c r="K15" s="10" t="s">
        <v>212</v>
      </c>
      <c r="L15" s="10" t="s">
        <v>213</v>
      </c>
      <c r="M15" s="11" t="s">
        <v>214</v>
      </c>
      <c r="N15" s="12" t="s">
        <v>215</v>
      </c>
      <c r="O15" s="12" t="s">
        <v>216</v>
      </c>
      <c r="P15" s="12" t="s">
        <v>217</v>
      </c>
      <c r="Q15" s="12" t="s">
        <v>218</v>
      </c>
      <c r="R15" s="12" t="s">
        <v>219</v>
      </c>
      <c r="S15" s="12" t="s">
        <v>220</v>
      </c>
      <c r="T15" s="12" t="s">
        <v>221</v>
      </c>
      <c r="U15" s="12" t="s">
        <v>222</v>
      </c>
      <c r="V15" s="12" t="s">
        <v>223</v>
      </c>
      <c r="W15" s="12" t="s">
        <v>224</v>
      </c>
      <c r="X15" s="12" t="s">
        <v>225</v>
      </c>
      <c r="Y15" s="12" t="s">
        <v>226</v>
      </c>
      <c r="Z15" s="12" t="s">
        <v>227</v>
      </c>
      <c r="AA15" s="13" t="s">
        <v>228</v>
      </c>
      <c r="AB15" s="12" t="s">
        <v>229</v>
      </c>
      <c r="AC15" s="12" t="s">
        <v>230</v>
      </c>
      <c r="AD15" s="12" t="s">
        <v>231</v>
      </c>
      <c r="AE15" s="12" t="s">
        <v>232</v>
      </c>
    </row>
    <row r="16" spans="1:31" x14ac:dyDescent="0.35">
      <c r="B16" t="s">
        <v>19</v>
      </c>
      <c r="F16" t="s">
        <v>11</v>
      </c>
      <c r="G16">
        <v>8</v>
      </c>
      <c r="K16" s="10" t="s">
        <v>233</v>
      </c>
      <c r="L16" s="10" t="s">
        <v>234</v>
      </c>
      <c r="M16" s="11" t="s">
        <v>235</v>
      </c>
      <c r="N16" s="12" t="s">
        <v>236</v>
      </c>
      <c r="O16" s="12" t="s">
        <v>237</v>
      </c>
      <c r="P16" s="12" t="s">
        <v>238</v>
      </c>
      <c r="Q16" s="12" t="s">
        <v>239</v>
      </c>
      <c r="R16" s="12" t="s">
        <v>240</v>
      </c>
      <c r="S16" s="12" t="s">
        <v>241</v>
      </c>
      <c r="T16" s="12" t="s">
        <v>242</v>
      </c>
      <c r="U16" s="12" t="s">
        <v>243</v>
      </c>
      <c r="V16" s="12" t="s">
        <v>244</v>
      </c>
      <c r="W16" s="12" t="s">
        <v>245</v>
      </c>
      <c r="X16" s="12" t="s">
        <v>246</v>
      </c>
      <c r="Y16" s="12" t="s">
        <v>247</v>
      </c>
      <c r="Z16" s="12" t="s">
        <v>248</v>
      </c>
      <c r="AA16" s="13" t="s">
        <v>249</v>
      </c>
      <c r="AB16" s="12" t="s">
        <v>250</v>
      </c>
      <c r="AC16" s="12" t="s">
        <v>251</v>
      </c>
      <c r="AD16" s="12" t="s">
        <v>252</v>
      </c>
      <c r="AE16" s="12" t="s">
        <v>253</v>
      </c>
    </row>
    <row r="17" spans="2:31" x14ac:dyDescent="0.35">
      <c r="B17" t="s">
        <v>20</v>
      </c>
      <c r="F17" t="s">
        <v>12</v>
      </c>
      <c r="G17">
        <v>9</v>
      </c>
      <c r="K17" s="10" t="s">
        <v>254</v>
      </c>
      <c r="L17" s="10" t="s">
        <v>255</v>
      </c>
      <c r="M17" s="11" t="s">
        <v>256</v>
      </c>
      <c r="N17" s="12" t="s">
        <v>257</v>
      </c>
      <c r="O17" s="12" t="s">
        <v>258</v>
      </c>
      <c r="P17" s="12" t="s">
        <v>259</v>
      </c>
      <c r="Q17" s="12" t="s">
        <v>260</v>
      </c>
      <c r="R17" s="12" t="s">
        <v>261</v>
      </c>
      <c r="S17" s="12" t="s">
        <v>262</v>
      </c>
      <c r="T17" s="12" t="s">
        <v>263</v>
      </c>
      <c r="U17" s="12" t="s">
        <v>264</v>
      </c>
      <c r="V17" s="12" t="s">
        <v>265</v>
      </c>
      <c r="W17" s="12" t="s">
        <v>266</v>
      </c>
      <c r="X17" s="12" t="s">
        <v>267</v>
      </c>
      <c r="Y17" s="12" t="s">
        <v>268</v>
      </c>
      <c r="Z17" s="12" t="s">
        <v>269</v>
      </c>
      <c r="AA17" s="13" t="s">
        <v>270</v>
      </c>
      <c r="AB17" s="12" t="s">
        <v>271</v>
      </c>
      <c r="AC17" s="12" t="s">
        <v>272</v>
      </c>
      <c r="AD17" s="12" t="s">
        <v>273</v>
      </c>
      <c r="AE17" s="12" t="s">
        <v>274</v>
      </c>
    </row>
    <row r="18" spans="2:31" x14ac:dyDescent="0.35">
      <c r="B18" t="s">
        <v>21</v>
      </c>
      <c r="F18" t="s">
        <v>13</v>
      </c>
      <c r="G18">
        <v>10</v>
      </c>
      <c r="K18" s="10" t="s">
        <v>55</v>
      </c>
      <c r="L18" s="10" t="s">
        <v>56</v>
      </c>
      <c r="M18" s="11" t="s">
        <v>57</v>
      </c>
      <c r="N18" s="12" t="s">
        <v>58</v>
      </c>
      <c r="O18" s="12" t="s">
        <v>59</v>
      </c>
      <c r="P18" s="12" t="s">
        <v>60</v>
      </c>
      <c r="Q18" s="12" t="s">
        <v>61</v>
      </c>
      <c r="R18" s="12" t="s">
        <v>62</v>
      </c>
      <c r="S18" s="12" t="s">
        <v>63</v>
      </c>
      <c r="T18" s="12" t="s">
        <v>64</v>
      </c>
      <c r="U18" s="12" t="s">
        <v>65</v>
      </c>
      <c r="V18" s="12" t="s">
        <v>66</v>
      </c>
      <c r="W18" s="12" t="s">
        <v>67</v>
      </c>
      <c r="X18" s="12" t="s">
        <v>68</v>
      </c>
      <c r="Y18" s="12" t="s">
        <v>69</v>
      </c>
      <c r="Z18" s="12" t="s">
        <v>70</v>
      </c>
      <c r="AA18" s="13" t="s">
        <v>71</v>
      </c>
      <c r="AB18" s="12" t="s">
        <v>72</v>
      </c>
      <c r="AC18" s="12" t="s">
        <v>73</v>
      </c>
      <c r="AD18" s="12" t="s">
        <v>74</v>
      </c>
      <c r="AE18" s="12" t="s">
        <v>75</v>
      </c>
    </row>
    <row r="19" spans="2:31" x14ac:dyDescent="0.35">
      <c r="B19" t="s">
        <v>22</v>
      </c>
      <c r="F19" t="s">
        <v>14</v>
      </c>
      <c r="G19">
        <v>11</v>
      </c>
      <c r="K19" s="10" t="s">
        <v>275</v>
      </c>
      <c r="L19" s="10" t="s">
        <v>276</v>
      </c>
      <c r="M19" s="11" t="s">
        <v>277</v>
      </c>
      <c r="N19" s="12" t="s">
        <v>278</v>
      </c>
      <c r="O19" s="12" t="s">
        <v>279</v>
      </c>
      <c r="P19" s="12" t="s">
        <v>280</v>
      </c>
      <c r="Q19" s="12" t="s">
        <v>281</v>
      </c>
      <c r="R19" s="12" t="s">
        <v>282</v>
      </c>
      <c r="S19" s="12" t="s">
        <v>283</v>
      </c>
      <c r="T19" s="12" t="s">
        <v>284</v>
      </c>
      <c r="U19" s="12" t="s">
        <v>285</v>
      </c>
      <c r="V19" s="12" t="s">
        <v>286</v>
      </c>
      <c r="W19" s="12" t="s">
        <v>287</v>
      </c>
      <c r="X19" s="12" t="s">
        <v>288</v>
      </c>
      <c r="Y19" s="12" t="s">
        <v>289</v>
      </c>
      <c r="Z19" s="12" t="s">
        <v>290</v>
      </c>
      <c r="AA19" s="13" t="s">
        <v>291</v>
      </c>
      <c r="AB19" s="12" t="s">
        <v>292</v>
      </c>
      <c r="AC19" s="12" t="s">
        <v>293</v>
      </c>
      <c r="AD19" s="12" t="s">
        <v>294</v>
      </c>
      <c r="AE19" s="12" t="s">
        <v>295</v>
      </c>
    </row>
    <row r="20" spans="2:31" x14ac:dyDescent="0.35">
      <c r="B20" t="s">
        <v>23</v>
      </c>
      <c r="F20" t="s">
        <v>15</v>
      </c>
      <c r="G20">
        <v>12</v>
      </c>
      <c r="K20" s="10" t="s">
        <v>296</v>
      </c>
      <c r="L20" s="10" t="s">
        <v>297</v>
      </c>
      <c r="M20" s="11" t="s">
        <v>298</v>
      </c>
      <c r="N20" s="12" t="s">
        <v>298</v>
      </c>
      <c r="O20" s="12" t="s">
        <v>298</v>
      </c>
      <c r="P20" s="12" t="s">
        <v>298</v>
      </c>
      <c r="Q20" s="12" t="s">
        <v>298</v>
      </c>
      <c r="R20" s="12" t="s">
        <v>298</v>
      </c>
      <c r="S20" s="12" t="s">
        <v>298</v>
      </c>
      <c r="T20" s="12" t="s">
        <v>298</v>
      </c>
      <c r="U20" s="12" t="s">
        <v>298</v>
      </c>
      <c r="V20" s="12" t="s">
        <v>298</v>
      </c>
      <c r="W20" s="12" t="s">
        <v>298</v>
      </c>
      <c r="X20" s="12" t="s">
        <v>298</v>
      </c>
      <c r="Y20" s="12" t="s">
        <v>298</v>
      </c>
      <c r="Z20" s="12" t="s">
        <v>298</v>
      </c>
      <c r="AA20" s="13" t="s">
        <v>298</v>
      </c>
      <c r="AB20" s="12" t="s">
        <v>298</v>
      </c>
      <c r="AC20" s="12" t="s">
        <v>298</v>
      </c>
      <c r="AD20" s="12" t="s">
        <v>298</v>
      </c>
      <c r="AE20" s="12" t="s">
        <v>298</v>
      </c>
    </row>
    <row r="21" spans="2:31" x14ac:dyDescent="0.35">
      <c r="F21" t="s">
        <v>16</v>
      </c>
      <c r="G21">
        <v>13</v>
      </c>
      <c r="K21" s="10" t="s">
        <v>299</v>
      </c>
      <c r="L21" s="10" t="s">
        <v>122</v>
      </c>
      <c r="M21" s="11" t="s">
        <v>123</v>
      </c>
      <c r="N21" s="12" t="s">
        <v>123</v>
      </c>
      <c r="O21" s="12" t="s">
        <v>123</v>
      </c>
      <c r="P21" s="12" t="s">
        <v>123</v>
      </c>
      <c r="Q21" s="12" t="s">
        <v>123</v>
      </c>
      <c r="R21" s="12" t="s">
        <v>123</v>
      </c>
      <c r="S21" s="12" t="s">
        <v>123</v>
      </c>
      <c r="T21" s="12" t="s">
        <v>123</v>
      </c>
      <c r="U21" s="12" t="s">
        <v>123</v>
      </c>
      <c r="V21" s="12" t="s">
        <v>123</v>
      </c>
      <c r="W21" s="12" t="s">
        <v>123</v>
      </c>
      <c r="X21" s="12" t="s">
        <v>123</v>
      </c>
      <c r="Y21" s="12" t="s">
        <v>123</v>
      </c>
      <c r="Z21" s="12" t="s">
        <v>123</v>
      </c>
      <c r="AA21" s="13" t="s">
        <v>123</v>
      </c>
      <c r="AB21" s="12" t="s">
        <v>123</v>
      </c>
      <c r="AC21" s="12" t="s">
        <v>123</v>
      </c>
      <c r="AD21" s="12" t="s">
        <v>123</v>
      </c>
      <c r="AE21" s="12" t="s">
        <v>123</v>
      </c>
    </row>
    <row r="22" spans="2:31" x14ac:dyDescent="0.35">
      <c r="F22" t="s">
        <v>17</v>
      </c>
      <c r="G22">
        <v>14</v>
      </c>
      <c r="K22" s="10" t="s">
        <v>99</v>
      </c>
      <c r="L22" s="10" t="s">
        <v>100</v>
      </c>
      <c r="M22" s="11" t="s">
        <v>101</v>
      </c>
      <c r="N22" s="12" t="s">
        <v>102</v>
      </c>
      <c r="O22" s="12" t="s">
        <v>103</v>
      </c>
      <c r="P22" s="12" t="s">
        <v>104</v>
      </c>
      <c r="Q22" s="12" t="s">
        <v>105</v>
      </c>
      <c r="R22" s="12" t="s">
        <v>106</v>
      </c>
      <c r="S22" s="12" t="s">
        <v>107</v>
      </c>
      <c r="T22" s="12" t="s">
        <v>108</v>
      </c>
      <c r="U22" s="12" t="s">
        <v>109</v>
      </c>
      <c r="V22" s="12" t="s">
        <v>110</v>
      </c>
      <c r="W22" s="12" t="s">
        <v>111</v>
      </c>
      <c r="X22" s="12" t="s">
        <v>112</v>
      </c>
      <c r="Y22" s="12" t="s">
        <v>113</v>
      </c>
      <c r="Z22" s="12" t="s">
        <v>114</v>
      </c>
      <c r="AA22" s="13" t="s">
        <v>115</v>
      </c>
      <c r="AB22" s="12" t="s">
        <v>116</v>
      </c>
      <c r="AC22" s="12" t="s">
        <v>117</v>
      </c>
      <c r="AD22" s="12" t="s">
        <v>118</v>
      </c>
      <c r="AE22" s="12" t="s">
        <v>119</v>
      </c>
    </row>
    <row r="23" spans="2:31" x14ac:dyDescent="0.35">
      <c r="F23" t="s">
        <v>18</v>
      </c>
      <c r="G23">
        <v>15</v>
      </c>
      <c r="K23" s="10" t="s">
        <v>121</v>
      </c>
      <c r="L23" s="10" t="s">
        <v>122</v>
      </c>
      <c r="M23" s="11" t="s">
        <v>123</v>
      </c>
      <c r="N23" s="12" t="s">
        <v>123</v>
      </c>
      <c r="O23" s="12" t="s">
        <v>123</v>
      </c>
      <c r="P23" s="12" t="s">
        <v>123</v>
      </c>
      <c r="Q23" s="12" t="s">
        <v>123</v>
      </c>
      <c r="R23" s="12" t="s">
        <v>123</v>
      </c>
      <c r="S23" s="12" t="s">
        <v>123</v>
      </c>
      <c r="T23" s="12" t="s">
        <v>123</v>
      </c>
      <c r="U23" s="12" t="s">
        <v>123</v>
      </c>
      <c r="V23" s="12" t="s">
        <v>123</v>
      </c>
      <c r="W23" s="12" t="s">
        <v>123</v>
      </c>
      <c r="X23" s="12" t="s">
        <v>123</v>
      </c>
      <c r="Y23" s="12" t="s">
        <v>123</v>
      </c>
      <c r="Z23" s="12" t="s">
        <v>123</v>
      </c>
      <c r="AA23" s="13" t="s">
        <v>123</v>
      </c>
      <c r="AB23" s="12" t="s">
        <v>123</v>
      </c>
      <c r="AC23" s="12" t="s">
        <v>123</v>
      </c>
      <c r="AD23" s="12" t="s">
        <v>123</v>
      </c>
      <c r="AE23" s="12" t="s">
        <v>123</v>
      </c>
    </row>
    <row r="24" spans="2:31" x14ac:dyDescent="0.35">
      <c r="F24" t="s">
        <v>19</v>
      </c>
      <c r="G24">
        <v>18</v>
      </c>
      <c r="K24" s="10" t="s">
        <v>124</v>
      </c>
      <c r="L24" s="10" t="s">
        <v>300</v>
      </c>
      <c r="M24" s="11" t="s">
        <v>126</v>
      </c>
      <c r="N24" s="12" t="s">
        <v>127</v>
      </c>
      <c r="O24" s="12" t="s">
        <v>128</v>
      </c>
      <c r="P24" s="12" t="s">
        <v>129</v>
      </c>
      <c r="Q24" s="12" t="s">
        <v>130</v>
      </c>
      <c r="R24" s="12" t="s">
        <v>131</v>
      </c>
      <c r="S24" s="12" t="s">
        <v>132</v>
      </c>
      <c r="T24" s="12" t="s">
        <v>133</v>
      </c>
      <c r="U24" s="12" t="s">
        <v>134</v>
      </c>
      <c r="V24" s="12" t="s">
        <v>135</v>
      </c>
      <c r="W24" s="12" t="s">
        <v>136</v>
      </c>
      <c r="X24" s="12" t="s">
        <v>137</v>
      </c>
      <c r="Y24" s="12" t="s">
        <v>138</v>
      </c>
      <c r="Z24" s="12" t="s">
        <v>139</v>
      </c>
      <c r="AA24" s="13" t="s">
        <v>140</v>
      </c>
      <c r="AB24" s="12" t="s">
        <v>141</v>
      </c>
      <c r="AC24" s="12" t="s">
        <v>142</v>
      </c>
      <c r="AD24" s="12" t="s">
        <v>143</v>
      </c>
      <c r="AE24" s="12" t="s">
        <v>144</v>
      </c>
    </row>
    <row r="25" spans="2:31" x14ac:dyDescent="0.35">
      <c r="F25" t="s">
        <v>20</v>
      </c>
      <c r="G25">
        <v>19</v>
      </c>
      <c r="K25" s="10" t="s">
        <v>145</v>
      </c>
      <c r="L25" s="10" t="s">
        <v>122</v>
      </c>
      <c r="M25" s="11" t="s">
        <v>123</v>
      </c>
      <c r="N25" s="12" t="s">
        <v>123</v>
      </c>
      <c r="O25" s="12" t="s">
        <v>123</v>
      </c>
      <c r="P25" s="12" t="s">
        <v>123</v>
      </c>
      <c r="Q25" s="12" t="s">
        <v>123</v>
      </c>
      <c r="R25" s="12" t="s">
        <v>123</v>
      </c>
      <c r="S25" s="12" t="s">
        <v>123</v>
      </c>
      <c r="T25" s="12" t="s">
        <v>123</v>
      </c>
      <c r="U25" s="12" t="s">
        <v>123</v>
      </c>
      <c r="V25" s="12" t="s">
        <v>123</v>
      </c>
      <c r="W25" s="12" t="s">
        <v>123</v>
      </c>
      <c r="X25" s="12" t="s">
        <v>123</v>
      </c>
      <c r="Y25" s="12" t="s">
        <v>123</v>
      </c>
      <c r="Z25" s="12" t="s">
        <v>123</v>
      </c>
      <c r="AA25" s="13" t="s">
        <v>123</v>
      </c>
      <c r="AB25" s="12" t="s">
        <v>123</v>
      </c>
      <c r="AC25" s="12" t="s">
        <v>123</v>
      </c>
      <c r="AD25" s="12" t="s">
        <v>123</v>
      </c>
      <c r="AE25" s="12" t="s">
        <v>123</v>
      </c>
    </row>
    <row r="26" spans="2:31" x14ac:dyDescent="0.35">
      <c r="F26" t="s">
        <v>21</v>
      </c>
      <c r="G26">
        <v>20</v>
      </c>
      <c r="K26" s="10" t="s">
        <v>147</v>
      </c>
      <c r="L26" s="10" t="s">
        <v>301</v>
      </c>
      <c r="M26" s="11" t="s">
        <v>149</v>
      </c>
      <c r="N26" s="12" t="s">
        <v>150</v>
      </c>
      <c r="O26" s="12" t="s">
        <v>151</v>
      </c>
      <c r="P26" s="12" t="s">
        <v>152</v>
      </c>
      <c r="Q26" s="12" t="s">
        <v>153</v>
      </c>
      <c r="R26" s="12" t="s">
        <v>154</v>
      </c>
      <c r="S26" s="12" t="s">
        <v>155</v>
      </c>
      <c r="T26" s="12" t="s">
        <v>156</v>
      </c>
      <c r="U26" s="12" t="s">
        <v>157</v>
      </c>
      <c r="V26" s="12" t="s">
        <v>158</v>
      </c>
      <c r="W26" s="12" t="s">
        <v>159</v>
      </c>
      <c r="X26" s="12" t="s">
        <v>160</v>
      </c>
      <c r="Y26" s="12" t="s">
        <v>161</v>
      </c>
      <c r="Z26" s="12" t="s">
        <v>162</v>
      </c>
      <c r="AA26" s="13" t="s">
        <v>163</v>
      </c>
      <c r="AB26" s="12" t="s">
        <v>164</v>
      </c>
      <c r="AC26" s="12" t="s">
        <v>165</v>
      </c>
      <c r="AD26" s="12" t="s">
        <v>166</v>
      </c>
      <c r="AE26" s="12" t="s">
        <v>167</v>
      </c>
    </row>
    <row r="27" spans="2:31" x14ac:dyDescent="0.35">
      <c r="F27" t="s">
        <v>22</v>
      </c>
      <c r="G27">
        <v>21</v>
      </c>
      <c r="K27" s="10" t="s">
        <v>168</v>
      </c>
      <c r="L27" s="10" t="s">
        <v>122</v>
      </c>
      <c r="M27" s="11" t="s">
        <v>123</v>
      </c>
      <c r="N27" s="12" t="s">
        <v>123</v>
      </c>
      <c r="O27" s="12" t="s">
        <v>123</v>
      </c>
      <c r="P27" s="12" t="s">
        <v>123</v>
      </c>
      <c r="Q27" s="12" t="s">
        <v>123</v>
      </c>
      <c r="R27" s="12" t="s">
        <v>123</v>
      </c>
      <c r="S27" s="12" t="s">
        <v>123</v>
      </c>
      <c r="T27" s="12" t="s">
        <v>123</v>
      </c>
      <c r="U27" s="12" t="s">
        <v>123</v>
      </c>
      <c r="V27" s="12" t="s">
        <v>123</v>
      </c>
      <c r="W27" s="12" t="s">
        <v>123</v>
      </c>
      <c r="X27" s="12" t="s">
        <v>123</v>
      </c>
      <c r="Y27" s="12" t="s">
        <v>123</v>
      </c>
      <c r="Z27" s="12" t="s">
        <v>123</v>
      </c>
      <c r="AA27" s="13" t="s">
        <v>123</v>
      </c>
      <c r="AB27" s="12" t="s">
        <v>123</v>
      </c>
      <c r="AC27" s="12" t="s">
        <v>123</v>
      </c>
      <c r="AD27" s="12" t="s">
        <v>123</v>
      </c>
      <c r="AE27" s="12" t="s">
        <v>123</v>
      </c>
    </row>
    <row r="28" spans="2:31" x14ac:dyDescent="0.35">
      <c r="F28" t="s">
        <v>23</v>
      </c>
      <c r="G28">
        <v>22</v>
      </c>
      <c r="K28" s="10" t="s">
        <v>169</v>
      </c>
      <c r="L28" s="10" t="s">
        <v>170</v>
      </c>
      <c r="M28" s="11" t="s">
        <v>171</v>
      </c>
      <c r="N28" s="12" t="s">
        <v>172</v>
      </c>
      <c r="O28" s="12" t="s">
        <v>173</v>
      </c>
      <c r="P28" s="12" t="s">
        <v>174</v>
      </c>
      <c r="Q28" s="12" t="s">
        <v>175</v>
      </c>
      <c r="R28" s="12" t="s">
        <v>176</v>
      </c>
      <c r="S28" s="12" t="s">
        <v>177</v>
      </c>
      <c r="T28" s="12" t="s">
        <v>178</v>
      </c>
      <c r="U28" s="12" t="s">
        <v>179</v>
      </c>
      <c r="V28" s="12" t="s">
        <v>180</v>
      </c>
      <c r="W28" s="12" t="s">
        <v>181</v>
      </c>
      <c r="X28" s="12" t="s">
        <v>182</v>
      </c>
      <c r="Y28" s="12" t="s">
        <v>183</v>
      </c>
      <c r="Z28" s="12" t="s">
        <v>184</v>
      </c>
      <c r="AA28" s="13" t="s">
        <v>185</v>
      </c>
      <c r="AB28" s="12" t="s">
        <v>186</v>
      </c>
      <c r="AC28" s="12" t="s">
        <v>187</v>
      </c>
      <c r="AD28" s="12" t="s">
        <v>188</v>
      </c>
      <c r="AE28" s="12" t="s">
        <v>189</v>
      </c>
    </row>
    <row r="29" spans="2:31" x14ac:dyDescent="0.35">
      <c r="K29" s="10" t="s">
        <v>190</v>
      </c>
      <c r="L29" s="10" t="s">
        <v>122</v>
      </c>
      <c r="M29" s="11" t="s">
        <v>123</v>
      </c>
      <c r="N29" s="12" t="s">
        <v>123</v>
      </c>
      <c r="O29" s="12" t="s">
        <v>123</v>
      </c>
      <c r="P29" s="12" t="s">
        <v>123</v>
      </c>
      <c r="Q29" s="12" t="s">
        <v>123</v>
      </c>
      <c r="R29" s="12" t="s">
        <v>123</v>
      </c>
      <c r="S29" s="12" t="s">
        <v>123</v>
      </c>
      <c r="T29" s="12" t="s">
        <v>123</v>
      </c>
      <c r="U29" s="12" t="s">
        <v>123</v>
      </c>
      <c r="V29" s="12" t="s">
        <v>123</v>
      </c>
      <c r="W29" s="12" t="s">
        <v>123</v>
      </c>
      <c r="X29" s="12" t="s">
        <v>123</v>
      </c>
      <c r="Y29" s="12" t="s">
        <v>123</v>
      </c>
      <c r="Z29" s="12" t="s">
        <v>123</v>
      </c>
      <c r="AA29" s="13" t="s">
        <v>123</v>
      </c>
      <c r="AB29" s="12" t="s">
        <v>123</v>
      </c>
      <c r="AC29" s="12" t="s">
        <v>123</v>
      </c>
      <c r="AD29" s="12" t="s">
        <v>123</v>
      </c>
      <c r="AE29" s="12" t="s">
        <v>123</v>
      </c>
    </row>
    <row r="30" spans="2:31" x14ac:dyDescent="0.35">
      <c r="K30" s="10" t="s">
        <v>191</v>
      </c>
      <c r="L30" s="10" t="s">
        <v>302</v>
      </c>
      <c r="M30" s="11" t="s">
        <v>193</v>
      </c>
      <c r="N30" s="12" t="s">
        <v>194</v>
      </c>
      <c r="O30" s="12" t="s">
        <v>195</v>
      </c>
      <c r="P30" s="12" t="s">
        <v>196</v>
      </c>
      <c r="Q30" s="12" t="s">
        <v>197</v>
      </c>
      <c r="R30" s="12" t="s">
        <v>198</v>
      </c>
      <c r="S30" s="12" t="s">
        <v>199</v>
      </c>
      <c r="T30" s="12" t="s">
        <v>200</v>
      </c>
      <c r="U30" s="12" t="s">
        <v>201</v>
      </c>
      <c r="V30" s="12" t="s">
        <v>202</v>
      </c>
      <c r="W30" s="12" t="s">
        <v>203</v>
      </c>
      <c r="X30" s="12" t="s">
        <v>204</v>
      </c>
      <c r="Y30" s="12" t="s">
        <v>205</v>
      </c>
      <c r="Z30" s="12" t="s">
        <v>206</v>
      </c>
      <c r="AA30" s="13" t="s">
        <v>207</v>
      </c>
      <c r="AB30" s="12" t="s">
        <v>250</v>
      </c>
      <c r="AC30" s="12" t="s">
        <v>208</v>
      </c>
      <c r="AD30" s="12" t="s">
        <v>209</v>
      </c>
      <c r="AE30" s="12" t="s">
        <v>210</v>
      </c>
    </row>
    <row r="31" spans="2:31" x14ac:dyDescent="0.35">
      <c r="K31" s="10" t="s">
        <v>211</v>
      </c>
      <c r="L31" s="10" t="s">
        <v>122</v>
      </c>
      <c r="M31" s="11" t="s">
        <v>123</v>
      </c>
      <c r="N31" s="12" t="s">
        <v>123</v>
      </c>
      <c r="O31" s="12" t="s">
        <v>123</v>
      </c>
      <c r="P31" s="12" t="s">
        <v>123</v>
      </c>
      <c r="Q31" s="12" t="s">
        <v>123</v>
      </c>
      <c r="R31" s="12" t="s">
        <v>123</v>
      </c>
      <c r="S31" s="12" t="s">
        <v>123</v>
      </c>
      <c r="T31" s="12" t="s">
        <v>123</v>
      </c>
      <c r="U31" s="12" t="s">
        <v>123</v>
      </c>
      <c r="V31" s="12" t="s">
        <v>123</v>
      </c>
      <c r="W31" s="12" t="s">
        <v>123</v>
      </c>
      <c r="X31" s="12" t="s">
        <v>123</v>
      </c>
      <c r="Y31" s="12" t="s">
        <v>123</v>
      </c>
      <c r="Z31" s="12" t="s">
        <v>123</v>
      </c>
      <c r="AA31" s="13" t="s">
        <v>123</v>
      </c>
      <c r="AB31" s="12" t="s">
        <v>123</v>
      </c>
      <c r="AC31" s="12" t="s">
        <v>123</v>
      </c>
      <c r="AD31" s="12" t="s">
        <v>123</v>
      </c>
      <c r="AE31" s="12" t="s">
        <v>123</v>
      </c>
    </row>
    <row r="32" spans="2:31" x14ac:dyDescent="0.35">
      <c r="K32" s="10" t="s">
        <v>303</v>
      </c>
      <c r="L32" s="10" t="s">
        <v>213</v>
      </c>
      <c r="M32" s="11" t="s">
        <v>214</v>
      </c>
      <c r="N32" s="12" t="s">
        <v>215</v>
      </c>
      <c r="O32" s="12" t="s">
        <v>216</v>
      </c>
      <c r="P32" s="12" t="s">
        <v>217</v>
      </c>
      <c r="Q32" s="12" t="s">
        <v>218</v>
      </c>
      <c r="R32" s="12" t="s">
        <v>219</v>
      </c>
      <c r="S32" s="12" t="s">
        <v>304</v>
      </c>
      <c r="T32" s="12" t="s">
        <v>221</v>
      </c>
      <c r="U32" s="12" t="s">
        <v>222</v>
      </c>
      <c r="V32" s="12" t="s">
        <v>223</v>
      </c>
      <c r="W32" s="12" t="s">
        <v>224</v>
      </c>
      <c r="X32" s="12" t="s">
        <v>225</v>
      </c>
      <c r="Y32" s="12" t="s">
        <v>226</v>
      </c>
      <c r="Z32" s="12" t="s">
        <v>227</v>
      </c>
      <c r="AA32" s="13" t="s">
        <v>228</v>
      </c>
      <c r="AB32" s="12" t="s">
        <v>229</v>
      </c>
      <c r="AC32" s="12" t="s">
        <v>230</v>
      </c>
      <c r="AD32" s="12" t="s">
        <v>231</v>
      </c>
      <c r="AE32" s="12" t="s">
        <v>232</v>
      </c>
    </row>
    <row r="33" spans="11:31" x14ac:dyDescent="0.35">
      <c r="K33" s="10" t="s">
        <v>233</v>
      </c>
      <c r="L33" s="10" t="s">
        <v>234</v>
      </c>
      <c r="M33" s="11" t="s">
        <v>305</v>
      </c>
      <c r="N33" s="12" t="s">
        <v>306</v>
      </c>
      <c r="O33" s="12" t="s">
        <v>307</v>
      </c>
      <c r="P33" s="12" t="s">
        <v>308</v>
      </c>
      <c r="Q33" s="12" t="s">
        <v>309</v>
      </c>
      <c r="R33" s="12" t="s">
        <v>310</v>
      </c>
      <c r="S33" s="12" t="s">
        <v>311</v>
      </c>
      <c r="T33" s="12" t="s">
        <v>312</v>
      </c>
      <c r="U33" s="12" t="s">
        <v>313</v>
      </c>
      <c r="V33" s="12" t="s">
        <v>314</v>
      </c>
      <c r="W33" s="12" t="s">
        <v>315</v>
      </c>
      <c r="X33" s="12" t="s">
        <v>316</v>
      </c>
      <c r="Y33" s="12" t="s">
        <v>317</v>
      </c>
      <c r="Z33" s="12" t="s">
        <v>318</v>
      </c>
      <c r="AA33" s="13" t="s">
        <v>319</v>
      </c>
      <c r="AB33" s="12" t="s">
        <v>320</v>
      </c>
      <c r="AC33" s="12" t="s">
        <v>321</v>
      </c>
      <c r="AD33" s="12" t="s">
        <v>322</v>
      </c>
      <c r="AE33" s="12" t="s">
        <v>323</v>
      </c>
    </row>
    <row r="34" spans="11:31" x14ac:dyDescent="0.35">
      <c r="K34" s="10" t="s">
        <v>254</v>
      </c>
      <c r="L34" s="10" t="s">
        <v>255</v>
      </c>
      <c r="M34" s="11" t="s">
        <v>256</v>
      </c>
      <c r="N34" s="12" t="s">
        <v>257</v>
      </c>
      <c r="O34" s="12" t="s">
        <v>258</v>
      </c>
      <c r="P34" s="12" t="s">
        <v>259</v>
      </c>
      <c r="Q34" s="12" t="s">
        <v>260</v>
      </c>
      <c r="R34" s="12" t="s">
        <v>261</v>
      </c>
      <c r="S34" s="12" t="s">
        <v>262</v>
      </c>
      <c r="T34" s="12" t="s">
        <v>263</v>
      </c>
      <c r="U34" s="12" t="s">
        <v>264</v>
      </c>
      <c r="V34" s="12" t="s">
        <v>265</v>
      </c>
      <c r="W34" s="12" t="s">
        <v>266</v>
      </c>
      <c r="X34" s="12" t="s">
        <v>267</v>
      </c>
      <c r="Y34" s="12" t="s">
        <v>268</v>
      </c>
      <c r="Z34" s="12" t="s">
        <v>269</v>
      </c>
      <c r="AA34" s="13" t="s">
        <v>270</v>
      </c>
      <c r="AB34" s="12" t="s">
        <v>271</v>
      </c>
      <c r="AC34" s="12" t="s">
        <v>272</v>
      </c>
      <c r="AD34" s="12" t="s">
        <v>273</v>
      </c>
      <c r="AE34" s="12" t="s">
        <v>274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Maestro</vt:lpstr>
      <vt:lpstr>BackGr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2025-03-12T21:34:35Z</dcterms:modified>
</cp:coreProperties>
</file>